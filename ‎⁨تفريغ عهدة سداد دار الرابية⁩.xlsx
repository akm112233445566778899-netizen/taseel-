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qborgsa-my.sharepoint.com/personal/mo_almansour_tqb_org_sa/Documents/سطح المكتب/الجمعية/كهرباء الدور/فواتير برنامج سدادي2026/"/>
    </mc:Choice>
  </mc:AlternateContent>
  <xr:revisionPtr revIDLastSave="6" documentId="8_{C6D6A3AD-D759-4002-BC13-D3379F445986}" xr6:coauthVersionLast="47" xr6:coauthVersionMax="47" xr10:uidLastSave="{67F5B5AC-11C4-4661-A3D1-C8F2B1C5A384}"/>
  <bookViews>
    <workbookView xWindow="-108" yWindow="-108" windowWidth="23256" windowHeight="13896" xr2:uid="{00000000-000D-0000-FFFF-FFFF00000000}"/>
  </bookViews>
  <sheets>
    <sheet name="عهدة .. شيك " sheetId="1" r:id="rId1"/>
  </sheets>
  <definedNames>
    <definedName name="_xlnm.Print_Area" localSheetId="0">'عهدة .. شيك '!$A$1:$Y$125</definedName>
    <definedName name="_xlnm.Print_Titles" localSheetId="0">'عهدة .. شيك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4" i="1" l="1"/>
  <c r="Y19" i="1" l="1"/>
  <c r="B19" i="1"/>
  <c r="B14" i="1"/>
  <c r="I110" i="1" l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Y6" i="1" l="1"/>
  <c r="X6" i="1" s="1"/>
  <c r="Y89" i="1"/>
  <c r="X89" i="1" s="1"/>
  <c r="B89" i="1" s="1"/>
  <c r="Y90" i="1"/>
  <c r="X90" i="1" s="1"/>
  <c r="B90" i="1" s="1"/>
  <c r="Y91" i="1"/>
  <c r="X91" i="1" s="1"/>
  <c r="B91" i="1" s="1"/>
  <c r="Y92" i="1"/>
  <c r="X92" i="1" s="1"/>
  <c r="B92" i="1" s="1"/>
  <c r="Y93" i="1"/>
  <c r="X93" i="1" s="1"/>
  <c r="B93" i="1" s="1"/>
  <c r="Y94" i="1"/>
  <c r="X94" i="1" s="1"/>
  <c r="B94" i="1" s="1"/>
  <c r="Y95" i="1"/>
  <c r="X95" i="1" s="1"/>
  <c r="B95" i="1" s="1"/>
  <c r="Y96" i="1"/>
  <c r="X96" i="1" s="1"/>
  <c r="B96" i="1" s="1"/>
  <c r="Y97" i="1"/>
  <c r="X97" i="1" s="1"/>
  <c r="B97" i="1" s="1"/>
  <c r="Y98" i="1"/>
  <c r="X98" i="1" s="1"/>
  <c r="B98" i="1" s="1"/>
  <c r="Y99" i="1"/>
  <c r="X99" i="1" s="1"/>
  <c r="B99" i="1" s="1"/>
  <c r="Y100" i="1"/>
  <c r="X100" i="1" s="1"/>
  <c r="B100" i="1" s="1"/>
  <c r="Y101" i="1"/>
  <c r="X101" i="1" s="1"/>
  <c r="B101" i="1" s="1"/>
  <c r="Y102" i="1"/>
  <c r="X102" i="1" s="1"/>
  <c r="B102" i="1" s="1"/>
  <c r="Y103" i="1"/>
  <c r="X103" i="1" s="1"/>
  <c r="B103" i="1" s="1"/>
  <c r="Y104" i="1"/>
  <c r="X104" i="1" s="1"/>
  <c r="B104" i="1" s="1"/>
  <c r="Y105" i="1"/>
  <c r="Y106" i="1"/>
  <c r="X106" i="1" s="1"/>
  <c r="B106" i="1" s="1"/>
  <c r="Y107" i="1"/>
  <c r="X107" i="1" s="1"/>
  <c r="B107" i="1" s="1"/>
  <c r="Y108" i="1"/>
  <c r="X108" i="1" s="1"/>
  <c r="B108" i="1" s="1"/>
  <c r="Y109" i="1"/>
  <c r="X109" i="1" s="1"/>
  <c r="B109" i="1" s="1"/>
  <c r="Y7" i="1"/>
  <c r="X7" i="1" s="1"/>
  <c r="B7" i="1" s="1"/>
  <c r="Y8" i="1"/>
  <c r="X8" i="1" s="1"/>
  <c r="B8" i="1" s="1"/>
  <c r="Y9" i="1"/>
  <c r="X9" i="1" s="1"/>
  <c r="B9" i="1" s="1"/>
  <c r="Y10" i="1"/>
  <c r="X10" i="1" s="1"/>
  <c r="B10" i="1" s="1"/>
  <c r="Y11" i="1"/>
  <c r="X11" i="1" s="1"/>
  <c r="B11" i="1" s="1"/>
  <c r="Y12" i="1"/>
  <c r="X12" i="1" s="1"/>
  <c r="B12" i="1" s="1"/>
  <c r="Y13" i="1"/>
  <c r="X13" i="1" s="1"/>
  <c r="B13" i="1" s="1"/>
  <c r="Y15" i="1"/>
  <c r="X15" i="1" s="1"/>
  <c r="B15" i="1" s="1"/>
  <c r="Y16" i="1"/>
  <c r="X16" i="1" s="1"/>
  <c r="B16" i="1" s="1"/>
  <c r="Y17" i="1"/>
  <c r="X17" i="1" s="1"/>
  <c r="B17" i="1" s="1"/>
  <c r="Y18" i="1"/>
  <c r="X18" i="1" s="1"/>
  <c r="B18" i="1" s="1"/>
  <c r="Y20" i="1"/>
  <c r="X20" i="1" s="1"/>
  <c r="B20" i="1" s="1"/>
  <c r="Y21" i="1"/>
  <c r="X21" i="1" s="1"/>
  <c r="B21" i="1" s="1"/>
  <c r="Y22" i="1"/>
  <c r="X22" i="1" s="1"/>
  <c r="B22" i="1" s="1"/>
  <c r="Y23" i="1"/>
  <c r="X23" i="1" s="1"/>
  <c r="B23" i="1" s="1"/>
  <c r="Y24" i="1"/>
  <c r="X24" i="1" s="1"/>
  <c r="B24" i="1" s="1"/>
  <c r="Y25" i="1"/>
  <c r="X25" i="1" s="1"/>
  <c r="B25" i="1" s="1"/>
  <c r="Y26" i="1"/>
  <c r="X26" i="1" s="1"/>
  <c r="B26" i="1" s="1"/>
  <c r="Y27" i="1"/>
  <c r="Y28" i="1"/>
  <c r="X28" i="1" s="1"/>
  <c r="B28" i="1" s="1"/>
  <c r="Y29" i="1"/>
  <c r="X29" i="1" s="1"/>
  <c r="B29" i="1" s="1"/>
  <c r="Y30" i="1"/>
  <c r="X30" i="1" s="1"/>
  <c r="B30" i="1" s="1"/>
  <c r="Y31" i="1"/>
  <c r="X31" i="1" s="1"/>
  <c r="B31" i="1" s="1"/>
  <c r="Y32" i="1"/>
  <c r="X32" i="1" s="1"/>
  <c r="B32" i="1" s="1"/>
  <c r="Y33" i="1"/>
  <c r="X33" i="1" s="1"/>
  <c r="B33" i="1" s="1"/>
  <c r="Y34" i="1"/>
  <c r="X34" i="1" s="1"/>
  <c r="B34" i="1" s="1"/>
  <c r="Y35" i="1"/>
  <c r="X35" i="1" s="1"/>
  <c r="B35" i="1" s="1"/>
  <c r="Y36" i="1"/>
  <c r="X36" i="1" s="1"/>
  <c r="B36" i="1" s="1"/>
  <c r="Y37" i="1"/>
  <c r="X37" i="1" s="1"/>
  <c r="B37" i="1" s="1"/>
  <c r="Y38" i="1"/>
  <c r="X38" i="1" s="1"/>
  <c r="B38" i="1" s="1"/>
  <c r="Y39" i="1"/>
  <c r="X39" i="1" s="1"/>
  <c r="B39" i="1" s="1"/>
  <c r="Y40" i="1"/>
  <c r="X40" i="1" s="1"/>
  <c r="B40" i="1" s="1"/>
  <c r="Y41" i="1"/>
  <c r="X41" i="1" s="1"/>
  <c r="B41" i="1" s="1"/>
  <c r="Y42" i="1"/>
  <c r="X42" i="1" s="1"/>
  <c r="B42" i="1" s="1"/>
  <c r="Y43" i="1"/>
  <c r="X43" i="1" s="1"/>
  <c r="B43" i="1" s="1"/>
  <c r="Y44" i="1"/>
  <c r="X44" i="1" s="1"/>
  <c r="B44" i="1" s="1"/>
  <c r="Y45" i="1"/>
  <c r="Y46" i="1"/>
  <c r="Y47" i="1"/>
  <c r="X47" i="1" s="1"/>
  <c r="B47" i="1" s="1"/>
  <c r="Y48" i="1"/>
  <c r="X48" i="1" s="1"/>
  <c r="B48" i="1" s="1"/>
  <c r="Y49" i="1"/>
  <c r="X49" i="1" s="1"/>
  <c r="B49" i="1" s="1"/>
  <c r="Y50" i="1"/>
  <c r="X50" i="1" s="1"/>
  <c r="B50" i="1" s="1"/>
  <c r="Y51" i="1"/>
  <c r="X51" i="1" s="1"/>
  <c r="B51" i="1" s="1"/>
  <c r="Y52" i="1"/>
  <c r="X52" i="1" s="1"/>
  <c r="B52" i="1" s="1"/>
  <c r="Y53" i="1"/>
  <c r="X53" i="1" s="1"/>
  <c r="B53" i="1" s="1"/>
  <c r="Y54" i="1"/>
  <c r="X54" i="1" s="1"/>
  <c r="B54" i="1" s="1"/>
  <c r="Y55" i="1"/>
  <c r="X55" i="1" s="1"/>
  <c r="B55" i="1" s="1"/>
  <c r="Y56" i="1"/>
  <c r="X56" i="1" s="1"/>
  <c r="B56" i="1" s="1"/>
  <c r="Y57" i="1"/>
  <c r="X57" i="1" s="1"/>
  <c r="B57" i="1" s="1"/>
  <c r="Y58" i="1"/>
  <c r="X58" i="1" s="1"/>
  <c r="B58" i="1" s="1"/>
  <c r="Y59" i="1"/>
  <c r="Y60" i="1"/>
  <c r="X60" i="1" s="1"/>
  <c r="B60" i="1" s="1"/>
  <c r="Y61" i="1"/>
  <c r="X61" i="1" s="1"/>
  <c r="B61" i="1" s="1"/>
  <c r="Y62" i="1"/>
  <c r="X62" i="1" s="1"/>
  <c r="B62" i="1" s="1"/>
  <c r="Y63" i="1"/>
  <c r="X63" i="1" s="1"/>
  <c r="B63" i="1" s="1"/>
  <c r="Y64" i="1"/>
  <c r="X64" i="1" s="1"/>
  <c r="B64" i="1" s="1"/>
  <c r="Y65" i="1"/>
  <c r="X65" i="1" s="1"/>
  <c r="B65" i="1" s="1"/>
  <c r="Y66" i="1"/>
  <c r="X66" i="1" s="1"/>
  <c r="B66" i="1" s="1"/>
  <c r="Y67" i="1"/>
  <c r="Y68" i="1"/>
  <c r="X68" i="1" s="1"/>
  <c r="B68" i="1" s="1"/>
  <c r="Y69" i="1"/>
  <c r="Y70" i="1"/>
  <c r="X70" i="1" s="1"/>
  <c r="B70" i="1" s="1"/>
  <c r="Y71" i="1"/>
  <c r="X71" i="1" s="1"/>
  <c r="B71" i="1" s="1"/>
  <c r="Y72" i="1"/>
  <c r="X72" i="1" s="1"/>
  <c r="B72" i="1" s="1"/>
  <c r="Y73" i="1"/>
  <c r="X73" i="1" s="1"/>
  <c r="B73" i="1" s="1"/>
  <c r="Y74" i="1"/>
  <c r="X74" i="1" s="1"/>
  <c r="B74" i="1" s="1"/>
  <c r="Y75" i="1"/>
  <c r="Y76" i="1"/>
  <c r="X76" i="1" s="1"/>
  <c r="B76" i="1" s="1"/>
  <c r="Y77" i="1"/>
  <c r="X77" i="1" s="1"/>
  <c r="B77" i="1" s="1"/>
  <c r="Y78" i="1"/>
  <c r="X78" i="1" s="1"/>
  <c r="B78" i="1" s="1"/>
  <c r="Y79" i="1"/>
  <c r="X79" i="1" s="1"/>
  <c r="B79" i="1" s="1"/>
  <c r="Y80" i="1"/>
  <c r="X80" i="1" s="1"/>
  <c r="B80" i="1" s="1"/>
  <c r="Y81" i="1"/>
  <c r="X81" i="1" s="1"/>
  <c r="B81" i="1" s="1"/>
  <c r="Y82" i="1"/>
  <c r="X82" i="1" s="1"/>
  <c r="B82" i="1" s="1"/>
  <c r="Y83" i="1"/>
  <c r="X83" i="1" s="1"/>
  <c r="B83" i="1" s="1"/>
  <c r="Y84" i="1"/>
  <c r="X84" i="1" s="1"/>
  <c r="B84" i="1" s="1"/>
  <c r="Y85" i="1"/>
  <c r="X85" i="1" s="1"/>
  <c r="B85" i="1" s="1"/>
  <c r="Y86" i="1"/>
  <c r="X86" i="1" s="1"/>
  <c r="B86" i="1" s="1"/>
  <c r="Y87" i="1"/>
  <c r="X87" i="1" s="1"/>
  <c r="B87" i="1" s="1"/>
  <c r="Y88" i="1"/>
  <c r="X88" i="1" s="1"/>
  <c r="B88" i="1" s="1"/>
  <c r="X105" i="1"/>
  <c r="B105" i="1" s="1"/>
  <c r="X27" i="1"/>
  <c r="B27" i="1" s="1"/>
  <c r="X45" i="1"/>
  <c r="B45" i="1" s="1"/>
  <c r="X46" i="1"/>
  <c r="B46" i="1" s="1"/>
  <c r="X59" i="1"/>
  <c r="B59" i="1" s="1"/>
  <c r="X67" i="1"/>
  <c r="B67" i="1" s="1"/>
  <c r="X69" i="1"/>
  <c r="B69" i="1" s="1"/>
  <c r="X75" i="1"/>
  <c r="B75" i="1" s="1"/>
  <c r="AC103" i="1"/>
  <c r="AD103" i="1" s="1"/>
  <c r="AB89" i="1"/>
  <c r="B6" i="1" l="1"/>
  <c r="B110" i="1" s="1"/>
  <c r="X110" i="1"/>
  <c r="AC89" i="1"/>
  <c r="Z2" i="1" l="1"/>
</calcChain>
</file>

<file path=xl/sharedStrings.xml><?xml version="1.0" encoding="utf-8"?>
<sst xmlns="http://schemas.openxmlformats.org/spreadsheetml/2006/main" count="50" uniqueCount="49">
  <si>
    <t>الجمعية الخيرية لتحفيظ القرآن ببريدة</t>
  </si>
  <si>
    <t xml:space="preserve">شيك :     -   صرف :     - تاريخ :     -   مبلغ :   </t>
  </si>
  <si>
    <t>رقم البند</t>
  </si>
  <si>
    <t>الاجمالي</t>
  </si>
  <si>
    <t xml:space="preserve">رقم الفاتورة </t>
  </si>
  <si>
    <t xml:space="preserve">البيان </t>
  </si>
  <si>
    <t>ضيافة و بوفية</t>
  </si>
  <si>
    <t>هدايا</t>
  </si>
  <si>
    <t xml:space="preserve">ضريبة - مشتريات </t>
  </si>
  <si>
    <t xml:space="preserve">مجموع فواتير </t>
  </si>
  <si>
    <t>م</t>
  </si>
  <si>
    <t>اثاث وتجهيزات مكتبية</t>
  </si>
  <si>
    <t>صيانة مباني</t>
  </si>
  <si>
    <t>قرطاسيات ومطبوعات</t>
  </si>
  <si>
    <t>الهاتف والبريد</t>
  </si>
  <si>
    <t xml:space="preserve">نظافة </t>
  </si>
  <si>
    <t>المحروقات</t>
  </si>
  <si>
    <t>صيانة سيارات</t>
  </si>
  <si>
    <t>التاريخ</t>
  </si>
  <si>
    <t>اسم المورد</t>
  </si>
  <si>
    <t>الرقم الضريبي</t>
  </si>
  <si>
    <t xml:space="preserve">ملاحظات </t>
  </si>
  <si>
    <t xml:space="preserve">الفواتير الضريبية يجب إضافة كل ما سبق ذكرة في رقم 1 + الرقم الضريبي للمورد  واسم المورد </t>
  </si>
  <si>
    <t>الفاتورة الضريبية يجب ان تحتوى علي اسم الجمعية والرقم الضريبي للجمعية ( مع استثناء الهدايا والضيافة لاتسترد الضريبة لهم  )</t>
  </si>
  <si>
    <t>الكهرباء</t>
  </si>
  <si>
    <t>المياة</t>
  </si>
  <si>
    <t>الأصول</t>
  </si>
  <si>
    <t xml:space="preserve">الحاسب الالي </t>
  </si>
  <si>
    <t xml:space="preserve">أخرى </t>
  </si>
  <si>
    <t xml:space="preserve">الفواتير القابلة للمسح يجب تصويرها مباشرة بعد الشراء لتجنب مسح البيانات بها مع ضرورة ارفاق الأصل </t>
  </si>
  <si>
    <t xml:space="preserve">الفواتير التي تزيد عن  1500 ريال لابد من ارفاق عروض أسعار </t>
  </si>
  <si>
    <t>فواتير الكهرباء او المياة او الهاتف تكون باسم الجمعية فقط .</t>
  </si>
  <si>
    <t>يجب ادراج البيان والتاريخ ورقم الفاتورة كااااملآ في جميع الفواتير ( اصل الفاتورة فقط اذا لم يتوفر الأصل فيجب توقيع الصورة )</t>
  </si>
  <si>
    <t xml:space="preserve">دعاية وإعلان </t>
  </si>
  <si>
    <t xml:space="preserve">يجب الالتزام باغلاق العهدة شهريآ وتحويل الباقي علي حساب الجمعية الرئيسي 45106 </t>
  </si>
  <si>
    <t>رقم الحساب</t>
  </si>
  <si>
    <t>شركة الاتصالات السعودية</t>
  </si>
  <si>
    <t>سنترال المعهد الرئيسي</t>
  </si>
  <si>
    <t>نت المعهد الرئيسي</t>
  </si>
  <si>
    <t>ماء المعهد الرئيسي</t>
  </si>
  <si>
    <t>شركة المياه الوطنية</t>
  </si>
  <si>
    <t>الشركة السعودية للكهرباء</t>
  </si>
  <si>
    <t>كهرب المعهد الشمالي</t>
  </si>
  <si>
    <t>30069070486</t>
  </si>
  <si>
    <t>٣٠٠١٠٢٣٢٠١١</t>
  </si>
  <si>
    <t xml:space="preserve">شركة الكهرباء </t>
  </si>
  <si>
    <t xml:space="preserve">الرابية </t>
  </si>
  <si>
    <t xml:space="preserve">تفريغ عهدة : سداد خدمات دارالرابية بالمباشر  شهر 10  2026 م - </t>
  </si>
  <si>
    <t>٣٠٠٤٤٥٩٨٥٣٧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</si>
</sst>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0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3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3" fontId="2" fillId="0" borderId="0" xfId="0" applyNumberFormat="1" applyFont="1" applyAlignment="1">
      <alignment horizontal="center" vertical="center" wrapText="1" shrinkToFit="1"/>
    </xf>
    <xf numFmtId="1" fontId="1" fillId="2" borderId="7" xfId="0" applyNumberFormat="1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3" fontId="1" fillId="0" borderId="0" xfId="0" applyNumberFormat="1" applyFont="1" applyAlignment="1">
      <alignment horizontal="center" vertical="center" shrinkToFit="1"/>
    </xf>
    <xf numFmtId="3" fontId="1" fillId="2" borderId="7" xfId="0" applyNumberFormat="1" applyFont="1" applyFill="1" applyBorder="1" applyAlignment="1">
      <alignment horizontal="center" vertical="center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 wrapText="1" shrinkToFit="1"/>
    </xf>
    <xf numFmtId="9" fontId="1" fillId="0" borderId="0" xfId="1" applyFont="1" applyAlignment="1">
      <alignment horizontal="center" vertical="center" shrinkToFit="1"/>
    </xf>
    <xf numFmtId="2" fontId="4" fillId="0" borderId="7" xfId="1" applyNumberFormat="1" applyFont="1" applyBorder="1" applyAlignment="1">
      <alignment horizontal="center" vertical="center" wrapText="1" shrinkToFit="1"/>
    </xf>
    <xf numFmtId="3" fontId="3" fillId="2" borderId="7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 shrinkToFit="1"/>
    </xf>
    <xf numFmtId="3" fontId="8" fillId="2" borderId="7" xfId="0" applyNumberFormat="1" applyFont="1" applyFill="1" applyBorder="1" applyAlignment="1">
      <alignment horizontal="center" vertical="center" wrapText="1" shrinkToFit="1"/>
    </xf>
    <xf numFmtId="3" fontId="1" fillId="2" borderId="4" xfId="0" applyNumberFormat="1" applyFont="1" applyFill="1" applyBorder="1" applyAlignment="1">
      <alignment vertical="center" shrinkToFit="1"/>
    </xf>
    <xf numFmtId="3" fontId="1" fillId="2" borderId="5" xfId="0" applyNumberFormat="1" applyFont="1" applyFill="1" applyBorder="1" applyAlignment="1">
      <alignment vertical="center" shrinkToFit="1"/>
    </xf>
    <xf numFmtId="1" fontId="1" fillId="2" borderId="5" xfId="0" applyNumberFormat="1" applyFont="1" applyFill="1" applyBorder="1" applyAlignment="1">
      <alignment vertical="center" shrinkToFit="1"/>
    </xf>
    <xf numFmtId="1" fontId="2" fillId="0" borderId="0" xfId="0" applyNumberFormat="1" applyFont="1" applyAlignment="1">
      <alignment horizontal="center" vertical="center" shrinkToFit="1"/>
    </xf>
    <xf numFmtId="164" fontId="1" fillId="2" borderId="5" xfId="0" applyNumberFormat="1" applyFont="1" applyFill="1" applyBorder="1" applyAlignment="1">
      <alignment vertical="center" shrinkToFit="1"/>
    </xf>
    <xf numFmtId="3" fontId="1" fillId="0" borderId="0" xfId="0" applyNumberFormat="1" applyFont="1" applyAlignment="1">
      <alignment horizontal="center" vertical="center" wrapText="1" shrinkToFit="1"/>
    </xf>
    <xf numFmtId="1" fontId="7" fillId="4" borderId="7" xfId="0" applyNumberFormat="1" applyFont="1" applyFill="1" applyBorder="1" applyAlignment="1">
      <alignment horizontal="center" vertical="center" shrinkToFit="1"/>
    </xf>
    <xf numFmtId="164" fontId="6" fillId="4" borderId="7" xfId="0" applyNumberFormat="1" applyFont="1" applyFill="1" applyBorder="1" applyAlignment="1">
      <alignment horizontal="center" vertical="center" shrinkToFit="1"/>
    </xf>
    <xf numFmtId="1" fontId="8" fillId="4" borderId="7" xfId="0" applyNumberFormat="1" applyFont="1" applyFill="1" applyBorder="1" applyAlignment="1">
      <alignment horizontal="center" vertical="center" shrinkToFit="1"/>
    </xf>
    <xf numFmtId="164" fontId="2" fillId="0" borderId="0" xfId="0" applyNumberFormat="1" applyFont="1" applyAlignment="1">
      <alignment horizontal="center" vertical="center" shrinkToFit="1"/>
    </xf>
    <xf numFmtId="4" fontId="3" fillId="0" borderId="7" xfId="0" applyNumberFormat="1" applyFont="1" applyBorder="1" applyAlignment="1">
      <alignment horizontal="center" vertical="center" wrapText="1" shrinkToFit="1"/>
    </xf>
    <xf numFmtId="4" fontId="1" fillId="0" borderId="7" xfId="0" applyNumberFormat="1" applyFont="1" applyBorder="1" applyAlignment="1">
      <alignment horizontal="center" vertical="center" wrapText="1" shrinkToFit="1"/>
    </xf>
    <xf numFmtId="4" fontId="1" fillId="3" borderId="8" xfId="0" applyNumberFormat="1" applyFont="1" applyFill="1" applyBorder="1" applyAlignment="1">
      <alignment horizontal="center" vertical="center" wrapText="1" shrinkToFit="1"/>
    </xf>
    <xf numFmtId="3" fontId="1" fillId="0" borderId="7" xfId="0" applyNumberFormat="1" applyFont="1" applyBorder="1" applyAlignment="1">
      <alignment horizontal="center" vertical="center" wrapText="1" shrinkToFit="1"/>
    </xf>
    <xf numFmtId="1" fontId="9" fillId="0" borderId="7" xfId="0" applyNumberFormat="1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wrapText="1" shrinkToFit="1"/>
    </xf>
    <xf numFmtId="49" fontId="1" fillId="2" borderId="5" xfId="0" applyNumberFormat="1" applyFont="1" applyFill="1" applyBorder="1" applyAlignment="1">
      <alignment vertical="center" shrinkToFit="1"/>
    </xf>
    <xf numFmtId="49" fontId="1" fillId="4" borderId="7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wrapText="1" shrinkToFit="1"/>
    </xf>
    <xf numFmtId="49" fontId="2" fillId="0" borderId="0" xfId="0" applyNumberFormat="1" applyFont="1" applyAlignment="1">
      <alignment horizontal="center" vertical="center" shrinkToFit="1"/>
    </xf>
    <xf numFmtId="49" fontId="1" fillId="2" borderId="6" xfId="0" applyNumberFormat="1" applyFont="1" applyFill="1" applyBorder="1" applyAlignment="1">
      <alignment vertical="center" shrinkToFit="1"/>
    </xf>
    <xf numFmtId="49" fontId="7" fillId="4" borderId="7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shrinkToFit="1"/>
    </xf>
    <xf numFmtId="49" fontId="9" fillId="5" borderId="7" xfId="0" applyNumberFormat="1" applyFont="1" applyFill="1" applyBorder="1" applyAlignment="1">
      <alignment horizontal="center" vertical="center" shrinkToFit="1"/>
    </xf>
    <xf numFmtId="49" fontId="9" fillId="6" borderId="7" xfId="0" applyNumberFormat="1" applyFont="1" applyFill="1" applyBorder="1" applyAlignment="1">
      <alignment horizontal="center" vertical="center" shrinkToFit="1"/>
    </xf>
    <xf numFmtId="3" fontId="2" fillId="0" borderId="0" xfId="0" applyNumberFormat="1" applyFont="1" applyAlignment="1">
      <alignment horizontal="right" vertical="center" wrapText="1" shrinkToFit="1"/>
    </xf>
    <xf numFmtId="3" fontId="1" fillId="0" borderId="1" xfId="0" applyNumberFormat="1" applyFont="1" applyBorder="1" applyAlignment="1">
      <alignment horizontal="center" vertical="center" wrapText="1" shrinkToFit="1"/>
    </xf>
    <xf numFmtId="3" fontId="1" fillId="0" borderId="0" xfId="0" applyNumberFormat="1" applyFont="1" applyAlignment="1">
      <alignment horizontal="center" vertical="center" wrapText="1" shrinkToFit="1"/>
    </xf>
    <xf numFmtId="3" fontId="3" fillId="0" borderId="2" xfId="0" applyNumberFormat="1" applyFont="1" applyBorder="1" applyAlignment="1">
      <alignment horizontal="center" vertical="center" wrapText="1" shrinkToFit="1"/>
    </xf>
    <xf numFmtId="3" fontId="3" fillId="0" borderId="3" xfId="0" applyNumberFormat="1" applyFont="1" applyBorder="1" applyAlignment="1">
      <alignment horizontal="center" vertical="center" wrapText="1" shrinkToFit="1"/>
    </xf>
    <xf numFmtId="3" fontId="2" fillId="0" borderId="0" xfId="0" applyNumberFormat="1" applyFont="1" applyAlignment="1">
      <alignment horizontal="center" vertical="center" shrinkToFit="1"/>
    </xf>
    <xf numFmtId="4" fontId="1" fillId="3" borderId="9" xfId="0" applyNumberFormat="1" applyFont="1" applyFill="1" applyBorder="1" applyAlignment="1">
      <alignment horizontal="center" vertical="center" wrapText="1" shrinkToFit="1"/>
    </xf>
    <xf numFmtId="4" fontId="1" fillId="3" borderId="10" xfId="0" applyNumberFormat="1" applyFont="1" applyFill="1" applyBorder="1" applyAlignment="1">
      <alignment horizontal="center" vertical="center" wrapText="1" shrinkToFit="1"/>
    </xf>
    <xf numFmtId="4" fontId="1" fillId="3" borderId="11" xfId="0" applyNumberFormat="1" applyFont="1" applyFill="1" applyBorder="1" applyAlignment="1">
      <alignment horizontal="center" vertical="center" wrapText="1" shrinkToFit="1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"/>
  <sheetViews>
    <sheetView rightToLeft="1" tabSelected="1" view="pageBreakPreview" zoomScaleSheetLayoutView="100" workbookViewId="0">
      <pane ySplit="5" topLeftCell="A6" activePane="bottomLeft" state="frozen"/>
      <selection pane="bottomLeft" activeCell="F7" sqref="F7"/>
    </sheetView>
  </sheetViews>
  <sheetFormatPr defaultColWidth="12.59765625" defaultRowHeight="24.9" customHeight="1" x14ac:dyDescent="0.25"/>
  <cols>
    <col min="1" max="1" width="4.8984375" style="1" customWidth="1"/>
    <col min="2" max="2" width="12.19921875" style="1" customWidth="1"/>
    <col min="3" max="4" width="15.8984375" style="33" customWidth="1"/>
    <col min="5" max="5" width="7.8984375" style="16" bestFit="1" customWidth="1"/>
    <col min="6" max="6" width="11.3984375" style="22" bestFit="1" customWidth="1"/>
    <col min="7" max="7" width="16.59765625" style="16" customWidth="1"/>
    <col min="8" max="8" width="12.5" style="33" customWidth="1"/>
    <col min="9" max="10" width="11.59765625" style="1" customWidth="1"/>
    <col min="11" max="23" width="11.59765625" style="1" hidden="1" customWidth="1"/>
    <col min="24" max="24" width="11.59765625" style="7" customWidth="1"/>
    <col min="25" max="25" width="12.59765625" style="7" hidden="1" customWidth="1"/>
    <col min="26" max="26" width="12.59765625" style="1"/>
    <col min="27" max="27" width="8.69921875" style="1" customWidth="1"/>
    <col min="28" max="28" width="9.8984375" style="1" customWidth="1"/>
    <col min="29" max="29" width="8.5" style="1" customWidth="1"/>
    <col min="30" max="16384" width="12.59765625" style="1"/>
  </cols>
  <sheetData>
    <row r="1" spans="1:26" ht="24.9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6" ht="24.9" customHeight="1" x14ac:dyDescent="0.2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1">
        <f>B110</f>
        <v>285.80950000000001</v>
      </c>
    </row>
    <row r="3" spans="1:26" ht="24.9" customHeight="1" x14ac:dyDescent="0.2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6" s="4" customFormat="1" ht="24.9" customHeight="1" x14ac:dyDescent="0.25">
      <c r="A4" s="13" t="s">
        <v>2</v>
      </c>
      <c r="B4" s="14"/>
      <c r="C4" s="30"/>
      <c r="D4" s="30"/>
      <c r="E4" s="15"/>
      <c r="F4" s="17"/>
      <c r="G4" s="15"/>
      <c r="H4" s="34"/>
      <c r="I4" s="2">
        <v>4230100502</v>
      </c>
      <c r="J4" s="2">
        <v>4230100505</v>
      </c>
      <c r="K4" s="2">
        <v>4230100506</v>
      </c>
      <c r="L4" s="2">
        <v>1180100105</v>
      </c>
      <c r="M4" s="2">
        <v>4230100302</v>
      </c>
      <c r="N4" s="2">
        <v>4230100403</v>
      </c>
      <c r="O4" s="2">
        <v>4230100402</v>
      </c>
      <c r="P4" s="2">
        <v>4230100304</v>
      </c>
      <c r="Q4" s="2">
        <v>4230100306</v>
      </c>
      <c r="R4" s="2">
        <v>4230100504</v>
      </c>
      <c r="S4" s="2">
        <v>4230100503</v>
      </c>
      <c r="T4" s="2">
        <v>4230100308</v>
      </c>
      <c r="U4" s="2">
        <v>4220100103</v>
      </c>
      <c r="V4" s="2">
        <v>4230100404</v>
      </c>
      <c r="W4" s="2">
        <v>4230100307</v>
      </c>
      <c r="X4" s="3">
        <v>1140500101</v>
      </c>
      <c r="Y4" s="3"/>
      <c r="Z4" s="8">
        <v>0.15</v>
      </c>
    </row>
    <row r="5" spans="1:26" s="4" customFormat="1" ht="24.9" customHeight="1" x14ac:dyDescent="0.25">
      <c r="A5" s="5" t="s">
        <v>10</v>
      </c>
      <c r="B5" s="5" t="s">
        <v>3</v>
      </c>
      <c r="C5" s="31" t="s">
        <v>5</v>
      </c>
      <c r="D5" s="31" t="s">
        <v>35</v>
      </c>
      <c r="E5" s="19" t="s">
        <v>4</v>
      </c>
      <c r="F5" s="20" t="s">
        <v>18</v>
      </c>
      <c r="G5" s="21" t="s">
        <v>20</v>
      </c>
      <c r="H5" s="35" t="s">
        <v>19</v>
      </c>
      <c r="I5" s="5" t="s">
        <v>14</v>
      </c>
      <c r="J5" s="11" t="s">
        <v>24</v>
      </c>
      <c r="K5" s="5" t="s">
        <v>25</v>
      </c>
      <c r="L5" s="5" t="s">
        <v>26</v>
      </c>
      <c r="M5" s="5" t="s">
        <v>11</v>
      </c>
      <c r="N5" s="5" t="s">
        <v>27</v>
      </c>
      <c r="O5" s="5" t="s">
        <v>12</v>
      </c>
      <c r="P5" s="11" t="s">
        <v>13</v>
      </c>
      <c r="Q5" s="11" t="s">
        <v>33</v>
      </c>
      <c r="R5" s="10" t="s">
        <v>15</v>
      </c>
      <c r="S5" s="10" t="s">
        <v>6</v>
      </c>
      <c r="T5" s="5" t="s">
        <v>7</v>
      </c>
      <c r="U5" s="5" t="s">
        <v>16</v>
      </c>
      <c r="V5" s="12" t="s">
        <v>17</v>
      </c>
      <c r="W5" s="12" t="s">
        <v>28</v>
      </c>
      <c r="X5" s="12" t="s">
        <v>8</v>
      </c>
      <c r="Y5" s="5" t="s">
        <v>9</v>
      </c>
    </row>
    <row r="6" spans="1:26" ht="24.9" customHeight="1" x14ac:dyDescent="0.25">
      <c r="A6" s="6">
        <v>1</v>
      </c>
      <c r="B6" s="24">
        <f>SUM(I6:X6)</f>
        <v>285.80950000000001</v>
      </c>
      <c r="C6" s="36" t="s">
        <v>46</v>
      </c>
      <c r="D6" s="38" t="s">
        <v>48</v>
      </c>
      <c r="E6" s="27">
        <v>262003286782</v>
      </c>
      <c r="F6" s="29">
        <v>46310</v>
      </c>
      <c r="G6" s="27">
        <v>300000361310003</v>
      </c>
      <c r="H6" s="36" t="s">
        <v>45</v>
      </c>
      <c r="I6" s="23"/>
      <c r="J6" s="23">
        <v>248.53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>
        <f>Y6*$Z$4</f>
        <v>37.279499999999999</v>
      </c>
      <c r="Y6" s="9">
        <f>W6+V6+U6+R6+Q6+P6+O6+N6+M6+L6+K6+J6+I6</f>
        <v>248.53</v>
      </c>
    </row>
    <row r="7" spans="1:26" ht="24.9" customHeight="1" x14ac:dyDescent="0.25">
      <c r="A7" s="6">
        <v>2</v>
      </c>
      <c r="B7" s="24">
        <f t="shared" ref="B7:B72" si="0">SUM(I7:X7)</f>
        <v>0</v>
      </c>
      <c r="C7" s="36"/>
      <c r="D7" s="38"/>
      <c r="E7" s="27"/>
      <c r="F7" s="29"/>
      <c r="G7" s="27"/>
      <c r="H7" s="36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>
        <f t="shared" ref="X7:X72" si="1">Y7*$Z$4</f>
        <v>0</v>
      </c>
      <c r="Y7" s="9">
        <f t="shared" ref="Y7:Y72" si="2">W7+V7+U7+R7+Q7+P7+O7+N7+M7+L7+K7+J7+I7</f>
        <v>0</v>
      </c>
    </row>
    <row r="8" spans="1:26" ht="24.9" hidden="1" customHeight="1" x14ac:dyDescent="0.25">
      <c r="A8" s="6">
        <v>1</v>
      </c>
      <c r="B8" s="24">
        <f t="shared" si="0"/>
        <v>0</v>
      </c>
      <c r="C8" s="36" t="s">
        <v>37</v>
      </c>
      <c r="D8" s="38" t="s">
        <v>44</v>
      </c>
      <c r="E8" s="27"/>
      <c r="F8" s="29">
        <v>46103</v>
      </c>
      <c r="G8" s="27">
        <v>300000361310003</v>
      </c>
      <c r="H8" s="36" t="s">
        <v>45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>
        <f t="shared" si="1"/>
        <v>0</v>
      </c>
      <c r="Y8" s="9">
        <f t="shared" si="2"/>
        <v>0</v>
      </c>
    </row>
    <row r="9" spans="1:26" ht="24.9" customHeight="1" x14ac:dyDescent="0.25">
      <c r="A9" s="6">
        <v>3</v>
      </c>
      <c r="B9" s="24">
        <f t="shared" si="0"/>
        <v>0</v>
      </c>
      <c r="C9" s="36"/>
      <c r="D9" s="38"/>
      <c r="E9" s="27"/>
      <c r="F9" s="29"/>
      <c r="G9" s="27"/>
      <c r="H9" s="3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f t="shared" si="1"/>
        <v>0</v>
      </c>
      <c r="Y9" s="9">
        <f t="shared" si="2"/>
        <v>0</v>
      </c>
    </row>
    <row r="10" spans="1:26" ht="24.9" customHeight="1" x14ac:dyDescent="0.25">
      <c r="A10" s="6">
        <v>4</v>
      </c>
      <c r="B10" s="24">
        <f t="shared" si="0"/>
        <v>0</v>
      </c>
      <c r="C10" s="36"/>
      <c r="D10" s="38"/>
      <c r="E10" s="27"/>
      <c r="F10" s="29"/>
      <c r="G10" s="27"/>
      <c r="H10" s="36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>
        <f t="shared" si="1"/>
        <v>0</v>
      </c>
      <c r="Y10" s="9">
        <f t="shared" si="2"/>
        <v>0</v>
      </c>
    </row>
    <row r="11" spans="1:26" ht="24.9" customHeight="1" x14ac:dyDescent="0.25">
      <c r="A11" s="6">
        <v>5</v>
      </c>
      <c r="B11" s="24">
        <f t="shared" si="0"/>
        <v>0</v>
      </c>
      <c r="C11" s="36"/>
      <c r="D11" s="38"/>
      <c r="E11" s="27"/>
      <c r="F11" s="29"/>
      <c r="G11" s="27"/>
      <c r="H11" s="36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f t="shared" si="1"/>
        <v>0</v>
      </c>
      <c r="Y11" s="9">
        <f t="shared" si="2"/>
        <v>0</v>
      </c>
    </row>
    <row r="12" spans="1:26" ht="24.9" hidden="1" customHeight="1" x14ac:dyDescent="0.25">
      <c r="A12" s="6">
        <v>4</v>
      </c>
      <c r="B12" s="24">
        <f t="shared" si="0"/>
        <v>0</v>
      </c>
      <c r="C12" s="36" t="s">
        <v>38</v>
      </c>
      <c r="D12" s="36">
        <v>5240328358</v>
      </c>
      <c r="E12" s="27"/>
      <c r="F12" s="28"/>
      <c r="G12" s="27">
        <v>300000157210008</v>
      </c>
      <c r="H12" s="36" t="s">
        <v>36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>
        <f t="shared" si="1"/>
        <v>0</v>
      </c>
      <c r="Y12" s="9">
        <f t="shared" si="2"/>
        <v>0</v>
      </c>
    </row>
    <row r="13" spans="1:26" ht="24.9" customHeight="1" x14ac:dyDescent="0.25">
      <c r="A13" s="6">
        <v>6</v>
      </c>
      <c r="B13" s="24">
        <f t="shared" si="0"/>
        <v>0</v>
      </c>
      <c r="C13" s="36"/>
      <c r="D13" s="38"/>
      <c r="E13" s="27"/>
      <c r="F13" s="28"/>
      <c r="G13" s="27"/>
      <c r="H13" s="36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>
        <f t="shared" si="1"/>
        <v>0</v>
      </c>
      <c r="Y13" s="9">
        <f t="shared" si="2"/>
        <v>0</v>
      </c>
    </row>
    <row r="14" spans="1:26" ht="24.9" customHeight="1" x14ac:dyDescent="0.25">
      <c r="A14" s="6">
        <v>7</v>
      </c>
      <c r="B14" s="24">
        <f t="shared" ref="B14" si="3">SUM(I14:X14)</f>
        <v>0</v>
      </c>
      <c r="C14" s="36"/>
      <c r="D14" s="38"/>
      <c r="E14" s="27"/>
      <c r="F14" s="28"/>
      <c r="G14" s="27"/>
      <c r="H14" s="3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>
        <v>0</v>
      </c>
      <c r="Y14" s="9">
        <f t="shared" si="2"/>
        <v>0</v>
      </c>
    </row>
    <row r="15" spans="1:26" ht="24.9" hidden="1" customHeight="1" x14ac:dyDescent="0.25">
      <c r="A15" s="6">
        <v>8</v>
      </c>
      <c r="B15" s="24">
        <f t="shared" si="0"/>
        <v>0</v>
      </c>
      <c r="C15" s="36" t="s">
        <v>39</v>
      </c>
      <c r="D15" s="37">
        <v>4829800012</v>
      </c>
      <c r="E15" s="27">
        <v>482799078046</v>
      </c>
      <c r="F15" s="28">
        <v>45995</v>
      </c>
      <c r="G15" s="27">
        <v>300184159100003</v>
      </c>
      <c r="H15" s="36" t="s">
        <v>40</v>
      </c>
      <c r="I15" s="23"/>
      <c r="J15" s="23"/>
      <c r="K15" s="23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>
        <f t="shared" si="1"/>
        <v>0</v>
      </c>
      <c r="Y15" s="9">
        <f t="shared" si="2"/>
        <v>0</v>
      </c>
    </row>
    <row r="16" spans="1:26" ht="24.9" customHeight="1" x14ac:dyDescent="0.25">
      <c r="A16" s="6">
        <v>9</v>
      </c>
      <c r="B16" s="24">
        <f t="shared" si="0"/>
        <v>0</v>
      </c>
      <c r="C16" s="36"/>
      <c r="D16" s="38"/>
      <c r="E16" s="27"/>
      <c r="F16" s="28"/>
      <c r="G16" s="27"/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>
        <f t="shared" si="1"/>
        <v>0</v>
      </c>
      <c r="Y16" s="9">
        <f t="shared" si="2"/>
        <v>0</v>
      </c>
    </row>
    <row r="17" spans="1:25" ht="24.9" customHeight="1" x14ac:dyDescent="0.25">
      <c r="A17" s="6">
        <v>10</v>
      </c>
      <c r="B17" s="24">
        <f t="shared" si="0"/>
        <v>0</v>
      </c>
      <c r="C17" s="36"/>
      <c r="D17" s="38"/>
      <c r="E17" s="27"/>
      <c r="F17" s="28"/>
      <c r="G17" s="27"/>
      <c r="H17" s="3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f t="shared" si="1"/>
        <v>0</v>
      </c>
      <c r="Y17" s="9">
        <f t="shared" si="2"/>
        <v>0</v>
      </c>
    </row>
    <row r="18" spans="1:25" ht="24.9" customHeight="1" x14ac:dyDescent="0.25">
      <c r="A18" s="6">
        <v>11</v>
      </c>
      <c r="B18" s="24">
        <f t="shared" si="0"/>
        <v>0</v>
      </c>
      <c r="C18" s="36"/>
      <c r="D18" s="38"/>
      <c r="E18" s="27"/>
      <c r="F18" s="28"/>
      <c r="G18" s="27"/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>
        <f t="shared" si="1"/>
        <v>0</v>
      </c>
      <c r="Y18" s="9">
        <f t="shared" si="2"/>
        <v>0</v>
      </c>
    </row>
    <row r="19" spans="1:25" ht="24.9" customHeight="1" x14ac:dyDescent="0.25">
      <c r="A19" s="6">
        <v>12</v>
      </c>
      <c r="B19" s="24">
        <f t="shared" ref="B19" si="4">SUM(I19:X19)</f>
        <v>0</v>
      </c>
      <c r="C19" s="36"/>
      <c r="D19" s="38"/>
      <c r="E19" s="27"/>
      <c r="F19" s="28"/>
      <c r="G19" s="27"/>
      <c r="H19" s="36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9">
        <f t="shared" si="2"/>
        <v>0</v>
      </c>
    </row>
    <row r="20" spans="1:25" ht="24.9" customHeight="1" thickBot="1" x14ac:dyDescent="0.3">
      <c r="A20" s="6">
        <v>13</v>
      </c>
      <c r="B20" s="24">
        <f t="shared" si="0"/>
        <v>0</v>
      </c>
      <c r="C20" s="36"/>
      <c r="D20" s="38"/>
      <c r="E20" s="27"/>
      <c r="F20" s="28"/>
      <c r="G20" s="27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>
        <f t="shared" si="1"/>
        <v>0</v>
      </c>
      <c r="Y20" s="9">
        <f t="shared" si="2"/>
        <v>0</v>
      </c>
    </row>
    <row r="21" spans="1:25" ht="24.9" hidden="1" customHeight="1" x14ac:dyDescent="0.25">
      <c r="A21" s="6">
        <v>14</v>
      </c>
      <c r="B21" s="24">
        <f t="shared" si="0"/>
        <v>0</v>
      </c>
      <c r="C21" s="36" t="s">
        <v>42</v>
      </c>
      <c r="D21" s="32" t="s">
        <v>43</v>
      </c>
      <c r="E21" s="27"/>
      <c r="F21" s="28"/>
      <c r="G21" s="27">
        <v>300000361310007</v>
      </c>
      <c r="H21" s="36" t="s">
        <v>41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f t="shared" si="1"/>
        <v>0</v>
      </c>
      <c r="Y21" s="9">
        <f t="shared" si="2"/>
        <v>0</v>
      </c>
    </row>
    <row r="22" spans="1:25" ht="24.9" hidden="1" customHeight="1" x14ac:dyDescent="0.25">
      <c r="A22" s="6">
        <v>15</v>
      </c>
      <c r="B22" s="24">
        <f t="shared" si="0"/>
        <v>0</v>
      </c>
      <c r="C22" s="32"/>
      <c r="D22" s="32"/>
      <c r="E22" s="27"/>
      <c r="F22" s="28"/>
      <c r="G22" s="27"/>
      <c r="H22" s="3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>
        <f t="shared" si="1"/>
        <v>0</v>
      </c>
      <c r="Y22" s="9">
        <f t="shared" si="2"/>
        <v>0</v>
      </c>
    </row>
    <row r="23" spans="1:25" ht="24.9" hidden="1" customHeight="1" x14ac:dyDescent="0.25">
      <c r="A23" s="6">
        <v>16</v>
      </c>
      <c r="B23" s="24">
        <f t="shared" si="0"/>
        <v>0</v>
      </c>
      <c r="C23" s="32"/>
      <c r="D23" s="32"/>
      <c r="E23" s="27"/>
      <c r="F23" s="28"/>
      <c r="G23" s="27"/>
      <c r="H23" s="3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>
        <f t="shared" si="1"/>
        <v>0</v>
      </c>
      <c r="Y23" s="9">
        <f t="shared" si="2"/>
        <v>0</v>
      </c>
    </row>
    <row r="24" spans="1:25" ht="24.9" hidden="1" customHeight="1" x14ac:dyDescent="0.25">
      <c r="A24" s="6">
        <v>17</v>
      </c>
      <c r="B24" s="24">
        <f t="shared" si="0"/>
        <v>0</v>
      </c>
      <c r="C24" s="32"/>
      <c r="D24" s="32"/>
      <c r="E24" s="27"/>
      <c r="F24" s="28"/>
      <c r="G24" s="27"/>
      <c r="H24" s="3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>
        <f t="shared" si="1"/>
        <v>0</v>
      </c>
      <c r="Y24" s="9">
        <f t="shared" si="2"/>
        <v>0</v>
      </c>
    </row>
    <row r="25" spans="1:25" ht="24.9" hidden="1" customHeight="1" x14ac:dyDescent="0.25">
      <c r="A25" s="6">
        <v>18</v>
      </c>
      <c r="B25" s="24">
        <f t="shared" si="0"/>
        <v>0</v>
      </c>
      <c r="C25" s="32"/>
      <c r="D25" s="32"/>
      <c r="E25" s="27"/>
      <c r="F25" s="28"/>
      <c r="G25" s="27"/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>
        <f t="shared" si="1"/>
        <v>0</v>
      </c>
      <c r="Y25" s="9">
        <f t="shared" si="2"/>
        <v>0</v>
      </c>
    </row>
    <row r="26" spans="1:25" ht="24.9" hidden="1" customHeight="1" x14ac:dyDescent="0.25">
      <c r="A26" s="6">
        <v>19</v>
      </c>
      <c r="B26" s="24">
        <f t="shared" si="0"/>
        <v>0</v>
      </c>
      <c r="C26" s="32"/>
      <c r="D26" s="32"/>
      <c r="E26" s="27"/>
      <c r="F26" s="28"/>
      <c r="G26" s="27"/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>
        <f t="shared" si="1"/>
        <v>0</v>
      </c>
      <c r="Y26" s="9">
        <f t="shared" si="2"/>
        <v>0</v>
      </c>
    </row>
    <row r="27" spans="1:25" ht="24.9" hidden="1" customHeight="1" x14ac:dyDescent="0.25">
      <c r="A27" s="6">
        <v>20</v>
      </c>
      <c r="B27" s="24">
        <f t="shared" si="0"/>
        <v>0</v>
      </c>
      <c r="C27" s="32"/>
      <c r="D27" s="32"/>
      <c r="E27" s="27"/>
      <c r="F27" s="28"/>
      <c r="G27" s="27"/>
      <c r="H27" s="3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>
        <f t="shared" si="1"/>
        <v>0</v>
      </c>
      <c r="Y27" s="9">
        <f t="shared" si="2"/>
        <v>0</v>
      </c>
    </row>
    <row r="28" spans="1:25" ht="24.9" hidden="1" customHeight="1" x14ac:dyDescent="0.25">
      <c r="A28" s="6">
        <v>21</v>
      </c>
      <c r="B28" s="24">
        <f t="shared" si="0"/>
        <v>0</v>
      </c>
      <c r="C28" s="32"/>
      <c r="D28" s="32"/>
      <c r="E28" s="27"/>
      <c r="F28" s="28"/>
      <c r="G28" s="27"/>
      <c r="H28" s="3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>
        <f t="shared" si="1"/>
        <v>0</v>
      </c>
      <c r="Y28" s="9">
        <f t="shared" si="2"/>
        <v>0</v>
      </c>
    </row>
    <row r="29" spans="1:25" ht="24.9" hidden="1" customHeight="1" x14ac:dyDescent="0.25">
      <c r="A29" s="6">
        <v>22</v>
      </c>
      <c r="B29" s="24">
        <f t="shared" si="0"/>
        <v>0</v>
      </c>
      <c r="C29" s="32"/>
      <c r="D29" s="32"/>
      <c r="E29" s="27"/>
      <c r="F29" s="28"/>
      <c r="G29" s="27"/>
      <c r="H29" s="3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>
        <f t="shared" si="1"/>
        <v>0</v>
      </c>
      <c r="Y29" s="9">
        <f t="shared" si="2"/>
        <v>0</v>
      </c>
    </row>
    <row r="30" spans="1:25" ht="24.9" hidden="1" customHeight="1" x14ac:dyDescent="0.25">
      <c r="A30" s="6">
        <v>23</v>
      </c>
      <c r="B30" s="24">
        <f t="shared" si="0"/>
        <v>0</v>
      </c>
      <c r="C30" s="32"/>
      <c r="D30" s="32"/>
      <c r="E30" s="27"/>
      <c r="F30" s="28"/>
      <c r="G30" s="27"/>
      <c r="H30" s="3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>
        <f t="shared" si="1"/>
        <v>0</v>
      </c>
      <c r="Y30" s="9">
        <f t="shared" si="2"/>
        <v>0</v>
      </c>
    </row>
    <row r="31" spans="1:25" ht="24.9" hidden="1" customHeight="1" x14ac:dyDescent="0.25">
      <c r="A31" s="6">
        <v>24</v>
      </c>
      <c r="B31" s="24">
        <f t="shared" si="0"/>
        <v>0</v>
      </c>
      <c r="C31" s="32"/>
      <c r="D31" s="32"/>
      <c r="E31" s="27"/>
      <c r="F31" s="28"/>
      <c r="G31" s="27"/>
      <c r="H31" s="3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>
        <f t="shared" si="1"/>
        <v>0</v>
      </c>
      <c r="Y31" s="9">
        <f t="shared" si="2"/>
        <v>0</v>
      </c>
    </row>
    <row r="32" spans="1:25" ht="24.9" hidden="1" customHeight="1" x14ac:dyDescent="0.25">
      <c r="A32" s="6">
        <v>25</v>
      </c>
      <c r="B32" s="24">
        <f t="shared" si="0"/>
        <v>0</v>
      </c>
      <c r="C32" s="32"/>
      <c r="D32" s="32"/>
      <c r="E32" s="27"/>
      <c r="F32" s="28"/>
      <c r="G32" s="27"/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>
        <f t="shared" si="1"/>
        <v>0</v>
      </c>
      <c r="Y32" s="9">
        <f t="shared" si="2"/>
        <v>0</v>
      </c>
    </row>
    <row r="33" spans="1:25" ht="24.9" hidden="1" customHeight="1" x14ac:dyDescent="0.25">
      <c r="A33" s="6">
        <v>26</v>
      </c>
      <c r="B33" s="24">
        <f t="shared" si="0"/>
        <v>0</v>
      </c>
      <c r="C33" s="32"/>
      <c r="D33" s="32"/>
      <c r="E33" s="27"/>
      <c r="F33" s="28"/>
      <c r="G33" s="27"/>
      <c r="H33" s="36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>
        <f t="shared" si="1"/>
        <v>0</v>
      </c>
      <c r="Y33" s="9">
        <f t="shared" si="2"/>
        <v>0</v>
      </c>
    </row>
    <row r="34" spans="1:25" ht="24.9" hidden="1" customHeight="1" x14ac:dyDescent="0.25">
      <c r="A34" s="6">
        <v>27</v>
      </c>
      <c r="B34" s="24">
        <f t="shared" si="0"/>
        <v>0</v>
      </c>
      <c r="C34" s="32"/>
      <c r="D34" s="32"/>
      <c r="E34" s="27"/>
      <c r="F34" s="28"/>
      <c r="G34" s="27"/>
      <c r="H34" s="36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>
        <f t="shared" si="1"/>
        <v>0</v>
      </c>
      <c r="Y34" s="9">
        <f t="shared" si="2"/>
        <v>0</v>
      </c>
    </row>
    <row r="35" spans="1:25" ht="24.9" hidden="1" customHeight="1" x14ac:dyDescent="0.25">
      <c r="A35" s="6">
        <v>28</v>
      </c>
      <c r="B35" s="24">
        <f t="shared" si="0"/>
        <v>0</v>
      </c>
      <c r="C35" s="32"/>
      <c r="D35" s="32"/>
      <c r="E35" s="27"/>
      <c r="F35" s="28"/>
      <c r="G35" s="27"/>
      <c r="H35" s="3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>
        <f t="shared" si="1"/>
        <v>0</v>
      </c>
      <c r="Y35" s="9">
        <f t="shared" si="2"/>
        <v>0</v>
      </c>
    </row>
    <row r="36" spans="1:25" ht="24.9" hidden="1" customHeight="1" x14ac:dyDescent="0.25">
      <c r="A36" s="6">
        <v>29</v>
      </c>
      <c r="B36" s="24">
        <f t="shared" si="0"/>
        <v>0</v>
      </c>
      <c r="C36" s="32"/>
      <c r="D36" s="32"/>
      <c r="E36" s="27"/>
      <c r="F36" s="28"/>
      <c r="G36" s="27"/>
      <c r="H36" s="3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f t="shared" si="1"/>
        <v>0</v>
      </c>
      <c r="Y36" s="9">
        <f t="shared" si="2"/>
        <v>0</v>
      </c>
    </row>
    <row r="37" spans="1:25" ht="24.9" hidden="1" customHeight="1" x14ac:dyDescent="0.25">
      <c r="A37" s="6">
        <v>30</v>
      </c>
      <c r="B37" s="24">
        <f t="shared" si="0"/>
        <v>0</v>
      </c>
      <c r="C37" s="32"/>
      <c r="D37" s="32"/>
      <c r="E37" s="27"/>
      <c r="F37" s="28"/>
      <c r="G37" s="27"/>
      <c r="H37" s="36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>
        <f t="shared" si="1"/>
        <v>0</v>
      </c>
      <c r="Y37" s="9">
        <f t="shared" si="2"/>
        <v>0</v>
      </c>
    </row>
    <row r="38" spans="1:25" ht="24.9" hidden="1" customHeight="1" x14ac:dyDescent="0.25">
      <c r="A38" s="6">
        <v>31</v>
      </c>
      <c r="B38" s="24">
        <f t="shared" si="0"/>
        <v>0</v>
      </c>
      <c r="C38" s="32"/>
      <c r="D38" s="32"/>
      <c r="E38" s="27"/>
      <c r="F38" s="28"/>
      <c r="G38" s="27"/>
      <c r="H38" s="36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>
        <f t="shared" si="1"/>
        <v>0</v>
      </c>
      <c r="Y38" s="9">
        <f t="shared" si="2"/>
        <v>0</v>
      </c>
    </row>
    <row r="39" spans="1:25" ht="24.9" hidden="1" customHeight="1" x14ac:dyDescent="0.25">
      <c r="A39" s="6">
        <v>32</v>
      </c>
      <c r="B39" s="24">
        <f t="shared" si="0"/>
        <v>0</v>
      </c>
      <c r="C39" s="32"/>
      <c r="D39" s="32"/>
      <c r="E39" s="27"/>
      <c r="F39" s="28"/>
      <c r="G39" s="27"/>
      <c r="H39" s="36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>
        <f t="shared" si="1"/>
        <v>0</v>
      </c>
      <c r="Y39" s="9">
        <f t="shared" si="2"/>
        <v>0</v>
      </c>
    </row>
    <row r="40" spans="1:25" ht="24.9" hidden="1" customHeight="1" x14ac:dyDescent="0.25">
      <c r="A40" s="6">
        <v>33</v>
      </c>
      <c r="B40" s="24">
        <f t="shared" si="0"/>
        <v>0</v>
      </c>
      <c r="C40" s="32"/>
      <c r="D40" s="32"/>
      <c r="E40" s="27"/>
      <c r="F40" s="28"/>
      <c r="G40" s="27"/>
      <c r="H40" s="36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>
        <f t="shared" si="1"/>
        <v>0</v>
      </c>
      <c r="Y40" s="9">
        <f t="shared" si="2"/>
        <v>0</v>
      </c>
    </row>
    <row r="41" spans="1:25" ht="24.9" hidden="1" customHeight="1" x14ac:dyDescent="0.25">
      <c r="A41" s="6">
        <v>34</v>
      </c>
      <c r="B41" s="24">
        <f t="shared" si="0"/>
        <v>0</v>
      </c>
      <c r="C41" s="32"/>
      <c r="D41" s="32"/>
      <c r="E41" s="27"/>
      <c r="F41" s="28"/>
      <c r="G41" s="27"/>
      <c r="H41" s="36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>
        <f t="shared" si="1"/>
        <v>0</v>
      </c>
      <c r="Y41" s="9">
        <f t="shared" si="2"/>
        <v>0</v>
      </c>
    </row>
    <row r="42" spans="1:25" ht="24.9" hidden="1" customHeight="1" x14ac:dyDescent="0.25">
      <c r="A42" s="6">
        <v>35</v>
      </c>
      <c r="B42" s="24">
        <f t="shared" si="0"/>
        <v>0</v>
      </c>
      <c r="C42" s="32"/>
      <c r="D42" s="32"/>
      <c r="E42" s="27"/>
      <c r="F42" s="28"/>
      <c r="G42" s="27"/>
      <c r="H42" s="36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>
        <f t="shared" si="1"/>
        <v>0</v>
      </c>
      <c r="Y42" s="9">
        <f t="shared" si="2"/>
        <v>0</v>
      </c>
    </row>
    <row r="43" spans="1:25" ht="24.9" hidden="1" customHeight="1" x14ac:dyDescent="0.25">
      <c r="A43" s="6">
        <v>36</v>
      </c>
      <c r="B43" s="24">
        <f t="shared" si="0"/>
        <v>0</v>
      </c>
      <c r="C43" s="32"/>
      <c r="D43" s="32"/>
      <c r="E43" s="27"/>
      <c r="F43" s="28"/>
      <c r="G43" s="27"/>
      <c r="H43" s="36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f t="shared" si="1"/>
        <v>0</v>
      </c>
      <c r="Y43" s="9">
        <f t="shared" si="2"/>
        <v>0</v>
      </c>
    </row>
    <row r="44" spans="1:25" ht="24.9" hidden="1" customHeight="1" x14ac:dyDescent="0.25">
      <c r="A44" s="6">
        <v>37</v>
      </c>
      <c r="B44" s="24">
        <f t="shared" si="0"/>
        <v>0</v>
      </c>
      <c r="C44" s="32"/>
      <c r="D44" s="32"/>
      <c r="E44" s="27"/>
      <c r="F44" s="28"/>
      <c r="G44" s="27"/>
      <c r="H44" s="36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>
        <f t="shared" si="1"/>
        <v>0</v>
      </c>
      <c r="Y44" s="9">
        <f t="shared" si="2"/>
        <v>0</v>
      </c>
    </row>
    <row r="45" spans="1:25" ht="24.9" hidden="1" customHeight="1" x14ac:dyDescent="0.25">
      <c r="A45" s="6">
        <v>38</v>
      </c>
      <c r="B45" s="24">
        <f t="shared" si="0"/>
        <v>0</v>
      </c>
      <c r="C45" s="32"/>
      <c r="D45" s="32"/>
      <c r="E45" s="27"/>
      <c r="F45" s="28"/>
      <c r="G45" s="27"/>
      <c r="H45" s="36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>
        <f t="shared" si="1"/>
        <v>0</v>
      </c>
      <c r="Y45" s="9">
        <f t="shared" si="2"/>
        <v>0</v>
      </c>
    </row>
    <row r="46" spans="1:25" ht="24.9" hidden="1" customHeight="1" x14ac:dyDescent="0.25">
      <c r="A46" s="6">
        <v>39</v>
      </c>
      <c r="B46" s="24">
        <f t="shared" si="0"/>
        <v>0</v>
      </c>
      <c r="C46" s="32"/>
      <c r="D46" s="32"/>
      <c r="E46" s="27"/>
      <c r="F46" s="28"/>
      <c r="G46" s="27"/>
      <c r="H46" s="36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>
        <f t="shared" si="1"/>
        <v>0</v>
      </c>
      <c r="Y46" s="9">
        <f t="shared" si="2"/>
        <v>0</v>
      </c>
    </row>
    <row r="47" spans="1:25" ht="24.9" hidden="1" customHeight="1" x14ac:dyDescent="0.25">
      <c r="A47" s="6">
        <v>40</v>
      </c>
      <c r="B47" s="24">
        <f t="shared" si="0"/>
        <v>0</v>
      </c>
      <c r="C47" s="32"/>
      <c r="D47" s="32"/>
      <c r="E47" s="27"/>
      <c r="F47" s="28"/>
      <c r="G47" s="27"/>
      <c r="H47" s="36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f t="shared" si="1"/>
        <v>0</v>
      </c>
      <c r="Y47" s="9">
        <f t="shared" si="2"/>
        <v>0</v>
      </c>
    </row>
    <row r="48" spans="1:25" ht="24.9" hidden="1" customHeight="1" x14ac:dyDescent="0.25">
      <c r="A48" s="6">
        <v>41</v>
      </c>
      <c r="B48" s="24">
        <f t="shared" si="0"/>
        <v>0</v>
      </c>
      <c r="C48" s="32"/>
      <c r="D48" s="32"/>
      <c r="E48" s="27"/>
      <c r="F48" s="28"/>
      <c r="G48" s="27"/>
      <c r="H48" s="36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>
        <f t="shared" si="1"/>
        <v>0</v>
      </c>
      <c r="Y48" s="9">
        <f t="shared" si="2"/>
        <v>0</v>
      </c>
    </row>
    <row r="49" spans="1:25" ht="24.9" hidden="1" customHeight="1" x14ac:dyDescent="0.25">
      <c r="A49" s="6">
        <v>42</v>
      </c>
      <c r="B49" s="24">
        <f t="shared" si="0"/>
        <v>0</v>
      </c>
      <c r="C49" s="32"/>
      <c r="D49" s="32"/>
      <c r="E49" s="27"/>
      <c r="F49" s="28"/>
      <c r="G49" s="27"/>
      <c r="H49" s="36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>
        <f t="shared" si="1"/>
        <v>0</v>
      </c>
      <c r="Y49" s="9">
        <f t="shared" si="2"/>
        <v>0</v>
      </c>
    </row>
    <row r="50" spans="1:25" ht="24.9" hidden="1" customHeight="1" x14ac:dyDescent="0.25">
      <c r="A50" s="6">
        <v>43</v>
      </c>
      <c r="B50" s="24">
        <f t="shared" si="0"/>
        <v>0</v>
      </c>
      <c r="C50" s="32"/>
      <c r="D50" s="32"/>
      <c r="E50" s="27"/>
      <c r="F50" s="28"/>
      <c r="G50" s="27"/>
      <c r="H50" s="36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>
        <f t="shared" si="1"/>
        <v>0</v>
      </c>
      <c r="Y50" s="9">
        <f t="shared" si="2"/>
        <v>0</v>
      </c>
    </row>
    <row r="51" spans="1:25" ht="24.9" hidden="1" customHeight="1" x14ac:dyDescent="0.25">
      <c r="A51" s="6">
        <v>44</v>
      </c>
      <c r="B51" s="24">
        <f t="shared" si="0"/>
        <v>0</v>
      </c>
      <c r="C51" s="32"/>
      <c r="D51" s="32"/>
      <c r="E51" s="27"/>
      <c r="F51" s="28"/>
      <c r="G51" s="27"/>
      <c r="H51" s="36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>
        <f t="shared" si="1"/>
        <v>0</v>
      </c>
      <c r="Y51" s="9">
        <f t="shared" si="2"/>
        <v>0</v>
      </c>
    </row>
    <row r="52" spans="1:25" ht="24.9" hidden="1" customHeight="1" x14ac:dyDescent="0.25">
      <c r="A52" s="6">
        <v>45</v>
      </c>
      <c r="B52" s="24">
        <f t="shared" si="0"/>
        <v>0</v>
      </c>
      <c r="C52" s="32"/>
      <c r="D52" s="32"/>
      <c r="E52" s="27"/>
      <c r="F52" s="28"/>
      <c r="G52" s="27"/>
      <c r="H52" s="36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>
        <f t="shared" si="1"/>
        <v>0</v>
      </c>
      <c r="Y52" s="9">
        <f t="shared" si="2"/>
        <v>0</v>
      </c>
    </row>
    <row r="53" spans="1:25" ht="24.9" hidden="1" customHeight="1" x14ac:dyDescent="0.25">
      <c r="A53" s="6">
        <v>46</v>
      </c>
      <c r="B53" s="24">
        <f t="shared" si="0"/>
        <v>0</v>
      </c>
      <c r="C53" s="32"/>
      <c r="D53" s="32"/>
      <c r="E53" s="27"/>
      <c r="F53" s="28"/>
      <c r="G53" s="27"/>
      <c r="H53" s="36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>
        <f t="shared" si="1"/>
        <v>0</v>
      </c>
      <c r="Y53" s="9">
        <f t="shared" si="2"/>
        <v>0</v>
      </c>
    </row>
    <row r="54" spans="1:25" ht="24.9" hidden="1" customHeight="1" x14ac:dyDescent="0.25">
      <c r="A54" s="6">
        <v>47</v>
      </c>
      <c r="B54" s="24">
        <f t="shared" si="0"/>
        <v>0</v>
      </c>
      <c r="C54" s="32"/>
      <c r="D54" s="32"/>
      <c r="E54" s="27"/>
      <c r="F54" s="28"/>
      <c r="G54" s="27"/>
      <c r="H54" s="36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>
        <f t="shared" si="1"/>
        <v>0</v>
      </c>
      <c r="Y54" s="9">
        <f t="shared" si="2"/>
        <v>0</v>
      </c>
    </row>
    <row r="55" spans="1:25" ht="24.9" hidden="1" customHeight="1" x14ac:dyDescent="0.25">
      <c r="A55" s="6">
        <v>48</v>
      </c>
      <c r="B55" s="24">
        <f t="shared" si="0"/>
        <v>0</v>
      </c>
      <c r="C55" s="32"/>
      <c r="D55" s="32"/>
      <c r="E55" s="27"/>
      <c r="F55" s="28"/>
      <c r="G55" s="27"/>
      <c r="H55" s="36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>
        <f t="shared" si="1"/>
        <v>0</v>
      </c>
      <c r="Y55" s="9">
        <f t="shared" si="2"/>
        <v>0</v>
      </c>
    </row>
    <row r="56" spans="1:25" ht="24.9" hidden="1" customHeight="1" x14ac:dyDescent="0.25">
      <c r="A56" s="6">
        <v>49</v>
      </c>
      <c r="B56" s="24">
        <f t="shared" si="0"/>
        <v>0</v>
      </c>
      <c r="C56" s="32"/>
      <c r="D56" s="32"/>
      <c r="E56" s="27"/>
      <c r="F56" s="28"/>
      <c r="G56" s="27"/>
      <c r="H56" s="36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>
        <f t="shared" si="1"/>
        <v>0</v>
      </c>
      <c r="Y56" s="9">
        <f t="shared" si="2"/>
        <v>0</v>
      </c>
    </row>
    <row r="57" spans="1:25" ht="24.9" hidden="1" customHeight="1" x14ac:dyDescent="0.25">
      <c r="A57" s="6">
        <v>50</v>
      </c>
      <c r="B57" s="24">
        <f t="shared" si="0"/>
        <v>0</v>
      </c>
      <c r="C57" s="32"/>
      <c r="D57" s="32"/>
      <c r="E57" s="27"/>
      <c r="F57" s="28"/>
      <c r="G57" s="27"/>
      <c r="H57" s="36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>
        <f t="shared" si="1"/>
        <v>0</v>
      </c>
      <c r="Y57" s="9">
        <f t="shared" si="2"/>
        <v>0</v>
      </c>
    </row>
    <row r="58" spans="1:25" ht="24.9" hidden="1" customHeight="1" x14ac:dyDescent="0.25">
      <c r="A58" s="6">
        <v>51</v>
      </c>
      <c r="B58" s="24">
        <f t="shared" si="0"/>
        <v>0</v>
      </c>
      <c r="C58" s="32"/>
      <c r="D58" s="32"/>
      <c r="E58" s="27"/>
      <c r="F58" s="28"/>
      <c r="G58" s="27"/>
      <c r="H58" s="36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>
        <f t="shared" si="1"/>
        <v>0</v>
      </c>
      <c r="Y58" s="9">
        <f t="shared" si="2"/>
        <v>0</v>
      </c>
    </row>
    <row r="59" spans="1:25" ht="24.9" hidden="1" customHeight="1" x14ac:dyDescent="0.25">
      <c r="A59" s="6">
        <v>52</v>
      </c>
      <c r="B59" s="24">
        <f t="shared" si="0"/>
        <v>0</v>
      </c>
      <c r="C59" s="32"/>
      <c r="D59" s="32"/>
      <c r="E59" s="27"/>
      <c r="F59" s="28"/>
      <c r="G59" s="27"/>
      <c r="H59" s="36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>
        <f t="shared" si="1"/>
        <v>0</v>
      </c>
      <c r="Y59" s="9">
        <f t="shared" si="2"/>
        <v>0</v>
      </c>
    </row>
    <row r="60" spans="1:25" ht="24.9" hidden="1" customHeight="1" x14ac:dyDescent="0.25">
      <c r="A60" s="6">
        <v>53</v>
      </c>
      <c r="B60" s="24">
        <f t="shared" si="0"/>
        <v>0</v>
      </c>
      <c r="C60" s="32"/>
      <c r="D60" s="32"/>
      <c r="E60" s="27"/>
      <c r="F60" s="28"/>
      <c r="G60" s="27"/>
      <c r="H60" s="36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>
        <f t="shared" si="1"/>
        <v>0</v>
      </c>
      <c r="Y60" s="9">
        <f t="shared" si="2"/>
        <v>0</v>
      </c>
    </row>
    <row r="61" spans="1:25" ht="24.9" hidden="1" customHeight="1" x14ac:dyDescent="0.25">
      <c r="A61" s="6">
        <v>54</v>
      </c>
      <c r="B61" s="24">
        <f t="shared" si="0"/>
        <v>0</v>
      </c>
      <c r="C61" s="32"/>
      <c r="D61" s="32"/>
      <c r="E61" s="27"/>
      <c r="F61" s="28"/>
      <c r="G61" s="27"/>
      <c r="H61" s="36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>
        <f t="shared" si="1"/>
        <v>0</v>
      </c>
      <c r="Y61" s="9">
        <f t="shared" si="2"/>
        <v>0</v>
      </c>
    </row>
    <row r="62" spans="1:25" ht="24.9" hidden="1" customHeight="1" x14ac:dyDescent="0.25">
      <c r="A62" s="6">
        <v>55</v>
      </c>
      <c r="B62" s="24">
        <f t="shared" si="0"/>
        <v>0</v>
      </c>
      <c r="C62" s="32"/>
      <c r="D62" s="32"/>
      <c r="E62" s="27"/>
      <c r="F62" s="28"/>
      <c r="G62" s="27"/>
      <c r="H62" s="36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>
        <f t="shared" si="1"/>
        <v>0</v>
      </c>
      <c r="Y62" s="9">
        <f t="shared" si="2"/>
        <v>0</v>
      </c>
    </row>
    <row r="63" spans="1:25" ht="24.9" hidden="1" customHeight="1" x14ac:dyDescent="0.25">
      <c r="A63" s="6">
        <v>56</v>
      </c>
      <c r="B63" s="24">
        <f t="shared" si="0"/>
        <v>0</v>
      </c>
      <c r="C63" s="32"/>
      <c r="D63" s="32"/>
      <c r="E63" s="27"/>
      <c r="F63" s="28"/>
      <c r="G63" s="27"/>
      <c r="H63" s="36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>
        <f t="shared" si="1"/>
        <v>0</v>
      </c>
      <c r="Y63" s="9">
        <f t="shared" si="2"/>
        <v>0</v>
      </c>
    </row>
    <row r="64" spans="1:25" ht="24.9" hidden="1" customHeight="1" x14ac:dyDescent="0.25">
      <c r="A64" s="6">
        <v>57</v>
      </c>
      <c r="B64" s="24">
        <f t="shared" si="0"/>
        <v>0</v>
      </c>
      <c r="C64" s="32"/>
      <c r="D64" s="32"/>
      <c r="E64" s="27"/>
      <c r="F64" s="28"/>
      <c r="G64" s="27"/>
      <c r="H64" s="36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>
        <f t="shared" si="1"/>
        <v>0</v>
      </c>
      <c r="Y64" s="9">
        <f t="shared" si="2"/>
        <v>0</v>
      </c>
    </row>
    <row r="65" spans="1:25" ht="24.9" hidden="1" customHeight="1" x14ac:dyDescent="0.25">
      <c r="A65" s="6">
        <v>58</v>
      </c>
      <c r="B65" s="24">
        <f t="shared" si="0"/>
        <v>0</v>
      </c>
      <c r="C65" s="32"/>
      <c r="D65" s="32"/>
      <c r="E65" s="27"/>
      <c r="F65" s="28"/>
      <c r="G65" s="27"/>
      <c r="H65" s="36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>
        <f t="shared" si="1"/>
        <v>0</v>
      </c>
      <c r="Y65" s="9">
        <f t="shared" si="2"/>
        <v>0</v>
      </c>
    </row>
    <row r="66" spans="1:25" ht="24.9" hidden="1" customHeight="1" x14ac:dyDescent="0.25">
      <c r="A66" s="6">
        <v>59</v>
      </c>
      <c r="B66" s="24">
        <f t="shared" si="0"/>
        <v>0</v>
      </c>
      <c r="C66" s="32"/>
      <c r="D66" s="32"/>
      <c r="E66" s="27"/>
      <c r="F66" s="28"/>
      <c r="G66" s="27"/>
      <c r="H66" s="36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>
        <f t="shared" si="1"/>
        <v>0</v>
      </c>
      <c r="Y66" s="9">
        <f t="shared" si="2"/>
        <v>0</v>
      </c>
    </row>
    <row r="67" spans="1:25" ht="24.9" hidden="1" customHeight="1" x14ac:dyDescent="0.25">
      <c r="A67" s="6">
        <v>60</v>
      </c>
      <c r="B67" s="24">
        <f t="shared" si="0"/>
        <v>0</v>
      </c>
      <c r="C67" s="32"/>
      <c r="D67" s="32"/>
      <c r="E67" s="27"/>
      <c r="F67" s="28"/>
      <c r="G67" s="27"/>
      <c r="H67" s="36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>
        <f t="shared" si="1"/>
        <v>0</v>
      </c>
      <c r="Y67" s="9">
        <f t="shared" si="2"/>
        <v>0</v>
      </c>
    </row>
    <row r="68" spans="1:25" ht="24.9" hidden="1" customHeight="1" x14ac:dyDescent="0.25">
      <c r="A68" s="6">
        <v>61</v>
      </c>
      <c r="B68" s="24">
        <f t="shared" si="0"/>
        <v>0</v>
      </c>
      <c r="C68" s="32"/>
      <c r="D68" s="32"/>
      <c r="E68" s="27"/>
      <c r="F68" s="28"/>
      <c r="G68" s="27"/>
      <c r="H68" s="36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>
        <f t="shared" si="1"/>
        <v>0</v>
      </c>
      <c r="Y68" s="9">
        <f t="shared" si="2"/>
        <v>0</v>
      </c>
    </row>
    <row r="69" spans="1:25" ht="24.9" hidden="1" customHeight="1" x14ac:dyDescent="0.25">
      <c r="A69" s="6">
        <v>62</v>
      </c>
      <c r="B69" s="24">
        <f t="shared" si="0"/>
        <v>0</v>
      </c>
      <c r="C69" s="32"/>
      <c r="D69" s="32"/>
      <c r="E69" s="27"/>
      <c r="F69" s="28"/>
      <c r="G69" s="27"/>
      <c r="H69" s="36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>
        <f t="shared" si="1"/>
        <v>0</v>
      </c>
      <c r="Y69" s="9">
        <f t="shared" si="2"/>
        <v>0</v>
      </c>
    </row>
    <row r="70" spans="1:25" ht="24.9" hidden="1" customHeight="1" x14ac:dyDescent="0.25">
      <c r="A70" s="6">
        <v>63</v>
      </c>
      <c r="B70" s="24">
        <f t="shared" si="0"/>
        <v>0</v>
      </c>
      <c r="C70" s="32"/>
      <c r="D70" s="32"/>
      <c r="E70" s="27"/>
      <c r="F70" s="28"/>
      <c r="G70" s="27"/>
      <c r="H70" s="36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>
        <f t="shared" si="1"/>
        <v>0</v>
      </c>
      <c r="Y70" s="9">
        <f t="shared" si="2"/>
        <v>0</v>
      </c>
    </row>
    <row r="71" spans="1:25" ht="24.9" hidden="1" customHeight="1" x14ac:dyDescent="0.25">
      <c r="A71" s="6">
        <v>64</v>
      </c>
      <c r="B71" s="24">
        <f t="shared" si="0"/>
        <v>0</v>
      </c>
      <c r="C71" s="32"/>
      <c r="D71" s="32"/>
      <c r="E71" s="27"/>
      <c r="F71" s="28"/>
      <c r="G71" s="27"/>
      <c r="H71" s="36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>
        <f t="shared" si="1"/>
        <v>0</v>
      </c>
      <c r="Y71" s="9">
        <f t="shared" si="2"/>
        <v>0</v>
      </c>
    </row>
    <row r="72" spans="1:25" ht="24.9" hidden="1" customHeight="1" x14ac:dyDescent="0.25">
      <c r="A72" s="6">
        <v>65</v>
      </c>
      <c r="B72" s="24">
        <f t="shared" si="0"/>
        <v>0</v>
      </c>
      <c r="C72" s="32"/>
      <c r="D72" s="32"/>
      <c r="E72" s="27"/>
      <c r="F72" s="28"/>
      <c r="G72" s="27"/>
      <c r="H72" s="36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>
        <f t="shared" si="1"/>
        <v>0</v>
      </c>
      <c r="Y72" s="9">
        <f t="shared" si="2"/>
        <v>0</v>
      </c>
    </row>
    <row r="73" spans="1:25" ht="24.9" hidden="1" customHeight="1" x14ac:dyDescent="0.25">
      <c r="A73" s="6">
        <v>66</v>
      </c>
      <c r="B73" s="24">
        <f t="shared" ref="B73:B108" si="5">SUM(I73:X73)</f>
        <v>0</v>
      </c>
      <c r="C73" s="32"/>
      <c r="D73" s="32"/>
      <c r="E73" s="27"/>
      <c r="F73" s="28"/>
      <c r="G73" s="27"/>
      <c r="H73" s="36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>
        <f t="shared" ref="X73:X109" si="6">Y73*$Z$4</f>
        <v>0</v>
      </c>
      <c r="Y73" s="9">
        <f t="shared" ref="Y73:Y88" si="7">W73+V73+U73+R73+Q73+P73+O73+N73+M73+L73+K73+J73+I73</f>
        <v>0</v>
      </c>
    </row>
    <row r="74" spans="1:25" ht="24.9" hidden="1" customHeight="1" x14ac:dyDescent="0.25">
      <c r="A74" s="6">
        <v>67</v>
      </c>
      <c r="B74" s="24">
        <f t="shared" si="5"/>
        <v>0</v>
      </c>
      <c r="C74" s="32"/>
      <c r="D74" s="32"/>
      <c r="E74" s="27"/>
      <c r="F74" s="28"/>
      <c r="G74" s="27"/>
      <c r="H74" s="36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>
        <f t="shared" si="6"/>
        <v>0</v>
      </c>
      <c r="Y74" s="9">
        <f t="shared" si="7"/>
        <v>0</v>
      </c>
    </row>
    <row r="75" spans="1:25" ht="24.9" hidden="1" customHeight="1" x14ac:dyDescent="0.25">
      <c r="A75" s="6">
        <v>68</v>
      </c>
      <c r="B75" s="24">
        <f t="shared" si="5"/>
        <v>0</v>
      </c>
      <c r="C75" s="32"/>
      <c r="D75" s="32"/>
      <c r="E75" s="27"/>
      <c r="F75" s="28"/>
      <c r="G75" s="27"/>
      <c r="H75" s="36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>
        <f t="shared" si="6"/>
        <v>0</v>
      </c>
      <c r="Y75" s="9">
        <f t="shared" si="7"/>
        <v>0</v>
      </c>
    </row>
    <row r="76" spans="1:25" ht="24.9" hidden="1" customHeight="1" x14ac:dyDescent="0.25">
      <c r="A76" s="6">
        <v>69</v>
      </c>
      <c r="B76" s="24">
        <f t="shared" si="5"/>
        <v>0</v>
      </c>
      <c r="C76" s="32"/>
      <c r="D76" s="32"/>
      <c r="E76" s="27"/>
      <c r="F76" s="28"/>
      <c r="G76" s="27"/>
      <c r="H76" s="36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>
        <f t="shared" si="6"/>
        <v>0</v>
      </c>
      <c r="Y76" s="9">
        <f t="shared" si="7"/>
        <v>0</v>
      </c>
    </row>
    <row r="77" spans="1:25" ht="24.9" hidden="1" customHeight="1" x14ac:dyDescent="0.25">
      <c r="A77" s="6">
        <v>70</v>
      </c>
      <c r="B77" s="24">
        <f t="shared" si="5"/>
        <v>0</v>
      </c>
      <c r="C77" s="32"/>
      <c r="D77" s="32"/>
      <c r="E77" s="27"/>
      <c r="F77" s="28"/>
      <c r="G77" s="27"/>
      <c r="H77" s="36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>
        <f t="shared" si="6"/>
        <v>0</v>
      </c>
      <c r="Y77" s="9">
        <f t="shared" si="7"/>
        <v>0</v>
      </c>
    </row>
    <row r="78" spans="1:25" ht="24.9" hidden="1" customHeight="1" x14ac:dyDescent="0.25">
      <c r="A78" s="6">
        <v>71</v>
      </c>
      <c r="B78" s="24">
        <f t="shared" si="5"/>
        <v>0</v>
      </c>
      <c r="C78" s="32"/>
      <c r="D78" s="32"/>
      <c r="E78" s="27"/>
      <c r="F78" s="28"/>
      <c r="G78" s="27"/>
      <c r="H78" s="36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>
        <f t="shared" si="6"/>
        <v>0</v>
      </c>
      <c r="Y78" s="9">
        <f t="shared" si="7"/>
        <v>0</v>
      </c>
    </row>
    <row r="79" spans="1:25" ht="24.9" hidden="1" customHeight="1" x14ac:dyDescent="0.25">
      <c r="A79" s="6">
        <v>72</v>
      </c>
      <c r="B79" s="24">
        <f t="shared" si="5"/>
        <v>0</v>
      </c>
      <c r="C79" s="32"/>
      <c r="D79" s="32"/>
      <c r="E79" s="27"/>
      <c r="F79" s="28"/>
      <c r="G79" s="27"/>
      <c r="H79" s="36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>
        <f t="shared" si="6"/>
        <v>0</v>
      </c>
      <c r="Y79" s="9">
        <f t="shared" si="7"/>
        <v>0</v>
      </c>
    </row>
    <row r="80" spans="1:25" ht="24.9" hidden="1" customHeight="1" x14ac:dyDescent="0.25">
      <c r="A80" s="6">
        <v>73</v>
      </c>
      <c r="B80" s="24">
        <f t="shared" si="5"/>
        <v>0</v>
      </c>
      <c r="C80" s="32"/>
      <c r="D80" s="32"/>
      <c r="E80" s="27"/>
      <c r="F80" s="28"/>
      <c r="G80" s="27"/>
      <c r="H80" s="36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>
        <f t="shared" si="6"/>
        <v>0</v>
      </c>
      <c r="Y80" s="9">
        <f t="shared" si="7"/>
        <v>0</v>
      </c>
    </row>
    <row r="81" spans="1:29" ht="24.9" hidden="1" customHeight="1" x14ac:dyDescent="0.25">
      <c r="A81" s="6">
        <v>74</v>
      </c>
      <c r="B81" s="24">
        <f t="shared" si="5"/>
        <v>0</v>
      </c>
      <c r="C81" s="32"/>
      <c r="D81" s="32"/>
      <c r="E81" s="27"/>
      <c r="F81" s="28"/>
      <c r="G81" s="27"/>
      <c r="H81" s="36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>
        <f t="shared" si="6"/>
        <v>0</v>
      </c>
      <c r="Y81" s="9">
        <f t="shared" si="7"/>
        <v>0</v>
      </c>
    </row>
    <row r="82" spans="1:29" ht="24.9" hidden="1" customHeight="1" x14ac:dyDescent="0.25">
      <c r="A82" s="6">
        <v>75</v>
      </c>
      <c r="B82" s="24">
        <f t="shared" si="5"/>
        <v>0</v>
      </c>
      <c r="C82" s="32"/>
      <c r="D82" s="32"/>
      <c r="E82" s="27"/>
      <c r="F82" s="28"/>
      <c r="G82" s="27"/>
      <c r="H82" s="36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>
        <f t="shared" si="6"/>
        <v>0</v>
      </c>
      <c r="Y82" s="9">
        <f t="shared" si="7"/>
        <v>0</v>
      </c>
    </row>
    <row r="83" spans="1:29" ht="24.9" hidden="1" customHeight="1" x14ac:dyDescent="0.25">
      <c r="A83" s="6">
        <v>76</v>
      </c>
      <c r="B83" s="24">
        <f t="shared" si="5"/>
        <v>0</v>
      </c>
      <c r="C83" s="32"/>
      <c r="D83" s="32"/>
      <c r="E83" s="27"/>
      <c r="F83" s="28"/>
      <c r="G83" s="27"/>
      <c r="H83" s="36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>
        <f t="shared" si="6"/>
        <v>0</v>
      </c>
      <c r="Y83" s="9">
        <f t="shared" si="7"/>
        <v>0</v>
      </c>
    </row>
    <row r="84" spans="1:29" ht="24.9" hidden="1" customHeight="1" x14ac:dyDescent="0.25">
      <c r="A84" s="6">
        <v>77</v>
      </c>
      <c r="B84" s="24">
        <f t="shared" si="5"/>
        <v>0</v>
      </c>
      <c r="C84" s="32"/>
      <c r="D84" s="32"/>
      <c r="E84" s="27"/>
      <c r="F84" s="28"/>
      <c r="G84" s="27"/>
      <c r="H84" s="36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>
        <f t="shared" si="6"/>
        <v>0</v>
      </c>
      <c r="Y84" s="9">
        <f t="shared" si="7"/>
        <v>0</v>
      </c>
    </row>
    <row r="85" spans="1:29" ht="24.9" hidden="1" customHeight="1" x14ac:dyDescent="0.25">
      <c r="A85" s="6">
        <v>78</v>
      </c>
      <c r="B85" s="24">
        <f t="shared" si="5"/>
        <v>0</v>
      </c>
      <c r="C85" s="32"/>
      <c r="D85" s="32"/>
      <c r="E85" s="27"/>
      <c r="F85" s="28"/>
      <c r="G85" s="27"/>
      <c r="H85" s="36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>
        <f t="shared" si="6"/>
        <v>0</v>
      </c>
      <c r="Y85" s="9">
        <f t="shared" si="7"/>
        <v>0</v>
      </c>
    </row>
    <row r="86" spans="1:29" ht="24.9" hidden="1" customHeight="1" x14ac:dyDescent="0.25">
      <c r="A86" s="6">
        <v>79</v>
      </c>
      <c r="B86" s="24">
        <f t="shared" si="5"/>
        <v>0</v>
      </c>
      <c r="C86" s="32"/>
      <c r="D86" s="32"/>
      <c r="E86" s="27"/>
      <c r="F86" s="28"/>
      <c r="G86" s="27"/>
      <c r="H86" s="36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>
        <f t="shared" si="6"/>
        <v>0</v>
      </c>
      <c r="Y86" s="9">
        <f t="shared" si="7"/>
        <v>0</v>
      </c>
    </row>
    <row r="87" spans="1:29" ht="24.9" hidden="1" customHeight="1" x14ac:dyDescent="0.25">
      <c r="A87" s="6">
        <v>80</v>
      </c>
      <c r="B87" s="24">
        <f t="shared" si="5"/>
        <v>0</v>
      </c>
      <c r="C87" s="32"/>
      <c r="D87" s="32"/>
      <c r="E87" s="27"/>
      <c r="F87" s="28"/>
      <c r="G87" s="27"/>
      <c r="H87" s="36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>
        <f t="shared" si="6"/>
        <v>0</v>
      </c>
      <c r="Y87" s="9">
        <f t="shared" si="7"/>
        <v>0</v>
      </c>
    </row>
    <row r="88" spans="1:29" ht="24.9" hidden="1" customHeight="1" x14ac:dyDescent="0.25">
      <c r="A88" s="6">
        <v>81</v>
      </c>
      <c r="B88" s="24">
        <f t="shared" si="5"/>
        <v>0</v>
      </c>
      <c r="C88" s="32"/>
      <c r="D88" s="32"/>
      <c r="E88" s="27"/>
      <c r="F88" s="28"/>
      <c r="G88" s="27"/>
      <c r="H88" s="36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>
        <f t="shared" si="6"/>
        <v>0</v>
      </c>
      <c r="Y88" s="9">
        <f t="shared" si="7"/>
        <v>0</v>
      </c>
    </row>
    <row r="89" spans="1:29" ht="24.9" hidden="1" customHeight="1" x14ac:dyDescent="0.25">
      <c r="A89" s="6">
        <v>82</v>
      </c>
      <c r="B89" s="24">
        <f t="shared" si="5"/>
        <v>0</v>
      </c>
      <c r="C89" s="32"/>
      <c r="D89" s="32"/>
      <c r="E89" s="27"/>
      <c r="F89" s="28"/>
      <c r="G89" s="27"/>
      <c r="H89" s="36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>
        <f t="shared" si="6"/>
        <v>0</v>
      </c>
      <c r="Y89" s="9">
        <f>W89+V89+U89+R89+Q89+P89+O89+N89+M89+L89+K89+J89+I89</f>
        <v>0</v>
      </c>
      <c r="AA89">
        <v>600</v>
      </c>
      <c r="AB89">
        <f>AA89/1.15</f>
        <v>521.73913043478262</v>
      </c>
      <c r="AC89">
        <f>AB89*15%</f>
        <v>78.260869565217391</v>
      </c>
    </row>
    <row r="90" spans="1:29" ht="24.9" hidden="1" customHeight="1" x14ac:dyDescent="0.25">
      <c r="A90" s="6">
        <v>83</v>
      </c>
      <c r="B90" s="24">
        <f t="shared" si="5"/>
        <v>0</v>
      </c>
      <c r="C90" s="32"/>
      <c r="D90" s="32"/>
      <c r="E90" s="27"/>
      <c r="F90" s="28"/>
      <c r="G90" s="27"/>
      <c r="H90" s="36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>
        <f t="shared" si="6"/>
        <v>0</v>
      </c>
      <c r="Y90" s="9">
        <f t="shared" ref="Y90:Y109" si="8">W90+V90+U90+R90+Q90+P90+O90+N90+M90+L90+K90+J90+I90</f>
        <v>0</v>
      </c>
    </row>
    <row r="91" spans="1:29" ht="24.9" hidden="1" customHeight="1" x14ac:dyDescent="0.25">
      <c r="A91" s="6">
        <v>84</v>
      </c>
      <c r="B91" s="24">
        <f t="shared" si="5"/>
        <v>0</v>
      </c>
      <c r="C91" s="32"/>
      <c r="D91" s="32"/>
      <c r="E91" s="27"/>
      <c r="F91" s="28"/>
      <c r="G91" s="27"/>
      <c r="H91" s="36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>
        <f t="shared" si="6"/>
        <v>0</v>
      </c>
      <c r="Y91" s="9">
        <f t="shared" si="8"/>
        <v>0</v>
      </c>
    </row>
    <row r="92" spans="1:29" ht="24.9" hidden="1" customHeight="1" x14ac:dyDescent="0.25">
      <c r="A92" s="6">
        <v>85</v>
      </c>
      <c r="B92" s="24">
        <f t="shared" si="5"/>
        <v>0</v>
      </c>
      <c r="C92" s="32"/>
      <c r="D92" s="32"/>
      <c r="E92" s="27"/>
      <c r="F92" s="28"/>
      <c r="G92" s="27"/>
      <c r="H92" s="36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>
        <f t="shared" si="6"/>
        <v>0</v>
      </c>
      <c r="Y92" s="9">
        <f t="shared" si="8"/>
        <v>0</v>
      </c>
    </row>
    <row r="93" spans="1:29" ht="24.9" hidden="1" customHeight="1" x14ac:dyDescent="0.25">
      <c r="A93" s="6">
        <v>86</v>
      </c>
      <c r="B93" s="24">
        <f t="shared" si="5"/>
        <v>0</v>
      </c>
      <c r="C93" s="32"/>
      <c r="D93" s="32"/>
      <c r="E93" s="27"/>
      <c r="F93" s="28"/>
      <c r="G93" s="27"/>
      <c r="H93" s="36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>
        <f t="shared" si="6"/>
        <v>0</v>
      </c>
      <c r="Y93" s="9">
        <f t="shared" si="8"/>
        <v>0</v>
      </c>
    </row>
    <row r="94" spans="1:29" ht="24.9" hidden="1" customHeight="1" x14ac:dyDescent="0.25">
      <c r="A94" s="6">
        <v>87</v>
      </c>
      <c r="B94" s="24">
        <f t="shared" si="5"/>
        <v>0</v>
      </c>
      <c r="C94" s="32"/>
      <c r="D94" s="32"/>
      <c r="E94" s="27"/>
      <c r="F94" s="28"/>
      <c r="G94" s="27"/>
      <c r="H94" s="36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>
        <f t="shared" si="6"/>
        <v>0</v>
      </c>
      <c r="Y94" s="9">
        <f t="shared" si="8"/>
        <v>0</v>
      </c>
    </row>
    <row r="95" spans="1:29" ht="24.9" hidden="1" customHeight="1" x14ac:dyDescent="0.25">
      <c r="A95" s="6">
        <v>88</v>
      </c>
      <c r="B95" s="24">
        <f t="shared" si="5"/>
        <v>0</v>
      </c>
      <c r="C95" s="32"/>
      <c r="D95" s="32"/>
      <c r="E95" s="27"/>
      <c r="F95" s="28"/>
      <c r="G95" s="27"/>
      <c r="H95" s="36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>
        <f t="shared" si="6"/>
        <v>0</v>
      </c>
      <c r="Y95" s="9">
        <f t="shared" si="8"/>
        <v>0</v>
      </c>
    </row>
    <row r="96" spans="1:29" ht="24.9" hidden="1" customHeight="1" x14ac:dyDescent="0.25">
      <c r="A96" s="6">
        <v>89</v>
      </c>
      <c r="B96" s="24">
        <f t="shared" si="5"/>
        <v>0</v>
      </c>
      <c r="C96" s="32"/>
      <c r="D96" s="32"/>
      <c r="E96" s="27"/>
      <c r="F96" s="28"/>
      <c r="G96" s="27"/>
      <c r="H96" s="36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>
        <f t="shared" si="6"/>
        <v>0</v>
      </c>
      <c r="Y96" s="9">
        <f t="shared" si="8"/>
        <v>0</v>
      </c>
    </row>
    <row r="97" spans="1:30" ht="24.9" hidden="1" customHeight="1" x14ac:dyDescent="0.25">
      <c r="A97" s="6">
        <v>90</v>
      </c>
      <c r="B97" s="24">
        <f t="shared" si="5"/>
        <v>0</v>
      </c>
      <c r="C97" s="32"/>
      <c r="D97" s="32"/>
      <c r="E97" s="27"/>
      <c r="F97" s="28"/>
      <c r="G97" s="27"/>
      <c r="H97" s="36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>
        <f t="shared" si="6"/>
        <v>0</v>
      </c>
      <c r="Y97" s="9">
        <f t="shared" si="8"/>
        <v>0</v>
      </c>
    </row>
    <row r="98" spans="1:30" ht="24.9" hidden="1" customHeight="1" x14ac:dyDescent="0.25">
      <c r="A98" s="6">
        <v>91</v>
      </c>
      <c r="B98" s="24">
        <f t="shared" si="5"/>
        <v>0</v>
      </c>
      <c r="C98" s="32"/>
      <c r="D98" s="32"/>
      <c r="E98" s="27"/>
      <c r="F98" s="28"/>
      <c r="G98" s="27"/>
      <c r="H98" s="36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>
        <f t="shared" si="6"/>
        <v>0</v>
      </c>
      <c r="Y98" s="9">
        <f t="shared" si="8"/>
        <v>0</v>
      </c>
    </row>
    <row r="99" spans="1:30" ht="24.9" hidden="1" customHeight="1" x14ac:dyDescent="0.25">
      <c r="A99" s="6">
        <v>92</v>
      </c>
      <c r="B99" s="24">
        <f t="shared" si="5"/>
        <v>0</v>
      </c>
      <c r="C99" s="32"/>
      <c r="D99" s="32"/>
      <c r="E99" s="27"/>
      <c r="F99" s="28"/>
      <c r="G99" s="27"/>
      <c r="H99" s="36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>
        <f t="shared" si="6"/>
        <v>0</v>
      </c>
      <c r="Y99" s="9">
        <f t="shared" si="8"/>
        <v>0</v>
      </c>
    </row>
    <row r="100" spans="1:30" ht="24.9" hidden="1" customHeight="1" x14ac:dyDescent="0.25">
      <c r="A100" s="6">
        <v>93</v>
      </c>
      <c r="B100" s="24">
        <f t="shared" si="5"/>
        <v>0</v>
      </c>
      <c r="C100" s="32"/>
      <c r="D100" s="32"/>
      <c r="E100" s="27"/>
      <c r="F100" s="28"/>
      <c r="G100" s="27"/>
      <c r="H100" s="36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>
        <f t="shared" si="6"/>
        <v>0</v>
      </c>
      <c r="Y100" s="9">
        <f t="shared" si="8"/>
        <v>0</v>
      </c>
    </row>
    <row r="101" spans="1:30" ht="24.9" hidden="1" customHeight="1" x14ac:dyDescent="0.25">
      <c r="A101" s="6">
        <v>94</v>
      </c>
      <c r="B101" s="24">
        <f t="shared" si="5"/>
        <v>0</v>
      </c>
      <c r="C101" s="32"/>
      <c r="D101" s="32"/>
      <c r="E101" s="27"/>
      <c r="F101" s="28"/>
      <c r="G101" s="27"/>
      <c r="H101" s="36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>
        <f t="shared" si="6"/>
        <v>0</v>
      </c>
      <c r="Y101" s="9">
        <f t="shared" si="8"/>
        <v>0</v>
      </c>
    </row>
    <row r="102" spans="1:30" ht="24.9" hidden="1" customHeight="1" x14ac:dyDescent="0.25">
      <c r="A102" s="6">
        <v>95</v>
      </c>
      <c r="B102" s="24">
        <f t="shared" si="5"/>
        <v>0</v>
      </c>
      <c r="C102" s="32"/>
      <c r="D102" s="32"/>
      <c r="E102" s="27"/>
      <c r="F102" s="28"/>
      <c r="G102" s="27"/>
      <c r="H102" s="36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>
        <f t="shared" si="6"/>
        <v>0</v>
      </c>
      <c r="Y102" s="9">
        <f t="shared" si="8"/>
        <v>0</v>
      </c>
    </row>
    <row r="103" spans="1:30" ht="24.9" hidden="1" customHeight="1" x14ac:dyDescent="0.25">
      <c r="A103" s="6">
        <v>96</v>
      </c>
      <c r="B103" s="24">
        <f t="shared" si="5"/>
        <v>0</v>
      </c>
      <c r="C103" s="32"/>
      <c r="D103" s="32"/>
      <c r="E103" s="27"/>
      <c r="F103" s="28"/>
      <c r="G103" s="27"/>
      <c r="H103" s="36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>
        <f t="shared" si="6"/>
        <v>0</v>
      </c>
      <c r="Y103" s="9">
        <f t="shared" si="8"/>
        <v>0</v>
      </c>
      <c r="AB103">
        <v>357.79</v>
      </c>
      <c r="AC103">
        <f>AB103/1.15</f>
        <v>311.12173913043483</v>
      </c>
      <c r="AD103">
        <f>AC103*15%</f>
        <v>46.668260869565223</v>
      </c>
    </row>
    <row r="104" spans="1:30" ht="24.9" hidden="1" customHeight="1" x14ac:dyDescent="0.25">
      <c r="A104" s="6">
        <v>97</v>
      </c>
      <c r="B104" s="24">
        <f t="shared" si="5"/>
        <v>0</v>
      </c>
      <c r="C104" s="32"/>
      <c r="D104" s="32"/>
      <c r="E104" s="27"/>
      <c r="F104" s="28"/>
      <c r="G104" s="27"/>
      <c r="H104" s="36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>
        <f t="shared" si="6"/>
        <v>0</v>
      </c>
      <c r="Y104" s="9">
        <f t="shared" si="8"/>
        <v>0</v>
      </c>
    </row>
    <row r="105" spans="1:30" ht="24.9" hidden="1" customHeight="1" x14ac:dyDescent="0.25">
      <c r="A105" s="6">
        <v>98</v>
      </c>
      <c r="B105" s="24">
        <f t="shared" si="5"/>
        <v>0</v>
      </c>
      <c r="C105" s="32"/>
      <c r="D105" s="32"/>
      <c r="E105" s="27"/>
      <c r="F105" s="28"/>
      <c r="G105" s="27"/>
      <c r="H105" s="36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>
        <f t="shared" si="6"/>
        <v>0</v>
      </c>
      <c r="Y105" s="9">
        <f t="shared" si="8"/>
        <v>0</v>
      </c>
    </row>
    <row r="106" spans="1:30" ht="24.9" hidden="1" customHeight="1" x14ac:dyDescent="0.25">
      <c r="A106" s="6">
        <v>99</v>
      </c>
      <c r="B106" s="24">
        <f t="shared" si="5"/>
        <v>0</v>
      </c>
      <c r="C106" s="32"/>
      <c r="D106" s="32"/>
      <c r="E106" s="27"/>
      <c r="F106" s="28"/>
      <c r="G106" s="27"/>
      <c r="H106" s="36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>
        <f t="shared" si="6"/>
        <v>0</v>
      </c>
      <c r="Y106" s="9">
        <f t="shared" si="8"/>
        <v>0</v>
      </c>
    </row>
    <row r="107" spans="1:30" ht="24.9" hidden="1" customHeight="1" x14ac:dyDescent="0.25">
      <c r="A107" s="6">
        <v>100</v>
      </c>
      <c r="B107" s="24">
        <f t="shared" si="5"/>
        <v>0</v>
      </c>
      <c r="C107" s="32"/>
      <c r="D107" s="32"/>
      <c r="E107" s="27"/>
      <c r="F107" s="28"/>
      <c r="G107" s="27"/>
      <c r="H107" s="36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>
        <f t="shared" si="6"/>
        <v>0</v>
      </c>
      <c r="Y107" s="9">
        <f t="shared" si="8"/>
        <v>0</v>
      </c>
    </row>
    <row r="108" spans="1:30" ht="24.9" hidden="1" customHeight="1" x14ac:dyDescent="0.25">
      <c r="A108" s="6">
        <v>101</v>
      </c>
      <c r="B108" s="24">
        <f t="shared" si="5"/>
        <v>0</v>
      </c>
      <c r="C108" s="32"/>
      <c r="D108" s="32"/>
      <c r="E108" s="27"/>
      <c r="F108" s="28"/>
      <c r="G108" s="27"/>
      <c r="H108" s="36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>
        <f t="shared" si="6"/>
        <v>0</v>
      </c>
      <c r="Y108" s="9">
        <f t="shared" si="8"/>
        <v>0</v>
      </c>
    </row>
    <row r="109" spans="1:30" ht="24.9" hidden="1" customHeight="1" thickBot="1" x14ac:dyDescent="0.3">
      <c r="A109" s="6">
        <v>102</v>
      </c>
      <c r="B109" s="24">
        <f>SUM(I109:X109)</f>
        <v>0</v>
      </c>
      <c r="C109" s="32"/>
      <c r="D109" s="32"/>
      <c r="E109" s="27"/>
      <c r="F109" s="28"/>
      <c r="G109" s="27"/>
      <c r="H109" s="36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>
        <f t="shared" si="6"/>
        <v>0</v>
      </c>
      <c r="Y109" s="9">
        <f t="shared" si="8"/>
        <v>0</v>
      </c>
    </row>
    <row r="110" spans="1:30" s="18" customFormat="1" ht="29.25" customHeight="1" thickBot="1" x14ac:dyDescent="0.3">
      <c r="A110" s="26"/>
      <c r="B110" s="25">
        <f>SUM(B6:B109)</f>
        <v>285.80950000000001</v>
      </c>
      <c r="C110" s="45"/>
      <c r="D110" s="46"/>
      <c r="E110" s="46"/>
      <c r="F110" s="46"/>
      <c r="G110" s="46"/>
      <c r="H110" s="47"/>
      <c r="I110" s="25">
        <f t="shared" ref="I110:X110" si="9">SUM(I6:I109)</f>
        <v>0</v>
      </c>
      <c r="J110" s="23">
        <f t="shared" si="9"/>
        <v>248.53</v>
      </c>
      <c r="K110" s="23">
        <f t="shared" si="9"/>
        <v>0</v>
      </c>
      <c r="L110" s="23">
        <f t="shared" si="9"/>
        <v>0</v>
      </c>
      <c r="M110" s="23">
        <f t="shared" si="9"/>
        <v>0</v>
      </c>
      <c r="N110" s="23">
        <f t="shared" si="9"/>
        <v>0</v>
      </c>
      <c r="O110" s="23">
        <f t="shared" si="9"/>
        <v>0</v>
      </c>
      <c r="P110" s="23">
        <f t="shared" si="9"/>
        <v>0</v>
      </c>
      <c r="Q110" s="23">
        <f t="shared" si="9"/>
        <v>0</v>
      </c>
      <c r="R110" s="23">
        <f t="shared" si="9"/>
        <v>0</v>
      </c>
      <c r="S110" s="23">
        <f t="shared" si="9"/>
        <v>0</v>
      </c>
      <c r="T110" s="23">
        <f t="shared" si="9"/>
        <v>0</v>
      </c>
      <c r="U110" s="23">
        <f t="shared" si="9"/>
        <v>0</v>
      </c>
      <c r="V110" s="23">
        <f t="shared" si="9"/>
        <v>0</v>
      </c>
      <c r="W110" s="23">
        <f t="shared" si="9"/>
        <v>0</v>
      </c>
      <c r="X110" s="23">
        <f t="shared" si="9"/>
        <v>37.279499999999999</v>
      </c>
      <c r="Y110" s="25"/>
    </row>
    <row r="112" spans="1:30" ht="24.9" customHeight="1" x14ac:dyDescent="0.25">
      <c r="A112" s="44" t="s">
        <v>21</v>
      </c>
      <c r="B112" s="44"/>
    </row>
    <row r="113" spans="1:24" ht="24.9" customHeight="1" x14ac:dyDescent="0.25">
      <c r="A113" s="1">
        <v>1</v>
      </c>
      <c r="B113" s="39" t="s">
        <v>32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spans="1:24" ht="24.9" customHeight="1" x14ac:dyDescent="0.25">
      <c r="A114" s="1">
        <v>2</v>
      </c>
      <c r="B114" s="39" t="s">
        <v>22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spans="1:24" ht="24.9" customHeight="1" x14ac:dyDescent="0.25">
      <c r="A115" s="1">
        <v>3</v>
      </c>
      <c r="B115" s="39" t="s">
        <v>23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spans="1:24" ht="24.9" customHeight="1" x14ac:dyDescent="0.25">
      <c r="A116" s="1">
        <v>4</v>
      </c>
      <c r="B116" s="39" t="s">
        <v>29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spans="1:24" ht="24.9" customHeight="1" x14ac:dyDescent="0.25">
      <c r="A117" s="1">
        <v>5</v>
      </c>
      <c r="B117" s="39" t="s">
        <v>30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 spans="1:24" ht="24.9" customHeight="1" x14ac:dyDescent="0.25">
      <c r="A118" s="1">
        <v>6</v>
      </c>
      <c r="B118" s="39" t="s">
        <v>31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</row>
    <row r="119" spans="1:24" ht="24.9" customHeight="1" x14ac:dyDescent="0.25">
      <c r="A119" s="1">
        <v>7</v>
      </c>
      <c r="B119" s="39" t="s">
        <v>34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</row>
    <row r="120" spans="1:24" ht="24.9" customHeight="1" x14ac:dyDescent="0.25">
      <c r="A120" s="1">
        <v>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</row>
  </sheetData>
  <mergeCells count="13">
    <mergeCell ref="A1:Y1"/>
    <mergeCell ref="A2:Y2"/>
    <mergeCell ref="A3:Y3"/>
    <mergeCell ref="A112:B112"/>
    <mergeCell ref="B118:T118"/>
    <mergeCell ref="C110:H110"/>
    <mergeCell ref="B119:T119"/>
    <mergeCell ref="B120:T120"/>
    <mergeCell ref="B113:X113"/>
    <mergeCell ref="B114:X114"/>
    <mergeCell ref="B115:X115"/>
    <mergeCell ref="B116:X116"/>
    <mergeCell ref="B117:X117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Footer>صفحة &amp;P من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66264-e735-466f-9175-0030279354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4CFA3266A15419F064A444F7A328C" ma:contentTypeVersion="4" ma:contentTypeDescription="Create a new document." ma:contentTypeScope="" ma:versionID="7f2709ca9a04d7c5dc47c95e2c1659b1">
  <xsd:schema xmlns:xsd="http://www.w3.org/2001/XMLSchema" xmlns:xs="http://www.w3.org/2001/XMLSchema" xmlns:p="http://schemas.microsoft.com/office/2006/metadata/properties" xmlns:ns3="efe66264-e735-466f-9175-0030279354ce" targetNamespace="http://schemas.microsoft.com/office/2006/metadata/properties" ma:root="true" ma:fieldsID="b4976fdab7ece4ad5cd9f925a90eead1" ns3:_="">
    <xsd:import namespace="efe66264-e735-466f-9175-003027935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66264-e735-466f-9175-003027935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A9AB8-54D3-49EA-BCFD-288C7EFB2DD2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efe66264-e735-466f-9175-0030279354c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8D76BB-E670-4DCC-B583-2EEFAC839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90306C-8E4D-4AC4-B313-201A1E174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66264-e735-466f-9175-003027935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عهدة .. شيك </vt:lpstr>
      <vt:lpstr>'عهدة .. شيك '!Print_Area</vt:lpstr>
      <vt:lpstr>'عهدة .. شيك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محمد بن خالد المنصور</cp:lastModifiedBy>
  <cp:lastPrinted>2026-10-19T14:19:16Z</cp:lastPrinted>
  <dcterms:created xsi:type="dcterms:W3CDTF">2022-11-01T15:39:29Z</dcterms:created>
  <dcterms:modified xsi:type="dcterms:W3CDTF">2026-10-19T14:19:34Z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0x01010032F4CFA3266A15419F064A444F7A328C</vt:lpwstr>
  </property>
</Properties>
</file>